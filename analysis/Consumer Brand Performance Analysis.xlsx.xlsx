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xr:revisionPtr revIDLastSave="0" documentId="8_{C3F6DB53-68EF-41FC-8B34-07822BAD407A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Raw Data" sheetId="4" r:id="rId1"/>
    <sheet name="Analysis" sheetId="2" r:id="rId2"/>
    <sheet name="Dashboard" sheetId="3" r:id="rId3"/>
  </sheets>
  <definedNames>
    <definedName name="ExternalData_1" localSheetId="0" hidden="1">'Raw Data'!$A$1:$F$375</definedName>
  </definedNames>
  <calcPr calcId="191028"/>
  <pivotCaches>
    <pivotCache cacheId="7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3" l="1"/>
  <c r="C37" i="3"/>
  <c r="B37" i="3"/>
  <c r="A3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1EA23E-6B86-43B6-818C-D2D22A9E502C}" keepAlive="1" name="Query - cosmetics_sales_data" description="Connection to the 'cosmetics_sales_data' query in the workbook." type="5" refreshedVersion="8" background="1">
    <dbPr connection="Provider=Microsoft.Mashup.OleDb.1;Data Source=$Workbook$;Location=cosmetics_sales_data;Extended Properties=&quot;&quot;" command="SELECT * FROM [cosmetics_sales_data]"/>
  </connection>
</connections>
</file>

<file path=xl/sharedStrings.xml><?xml version="1.0" encoding="utf-8"?>
<sst xmlns="http://schemas.openxmlformats.org/spreadsheetml/2006/main" count="1223" uniqueCount="77">
  <si>
    <t>Sales Person</t>
  </si>
  <si>
    <t>Country</t>
  </si>
  <si>
    <t>Product</t>
  </si>
  <si>
    <t>Date</t>
  </si>
  <si>
    <t>Amount ($)</t>
  </si>
  <si>
    <t>Boxes Shipped</t>
  </si>
  <si>
    <t>Lucas Verma</t>
  </si>
  <si>
    <t>Canada</t>
  </si>
  <si>
    <t>Aloe Vera Gel</t>
  </si>
  <si>
    <t>Ethan Reddy</t>
  </si>
  <si>
    <t>UK</t>
  </si>
  <si>
    <t>Ananya Gupta</t>
  </si>
  <si>
    <t>India</t>
  </si>
  <si>
    <t>Body Butter Cream</t>
  </si>
  <si>
    <t>New Zealand</t>
  </si>
  <si>
    <t>Salicylic Acid Cleanser</t>
  </si>
  <si>
    <t>Sophia Nair</t>
  </si>
  <si>
    <t>Lip Balm Pack</t>
  </si>
  <si>
    <t>Rose Water Toner</t>
  </si>
  <si>
    <t>Tea Tree Moisturizer</t>
  </si>
  <si>
    <t>Isabella Roy</t>
  </si>
  <si>
    <t>Noah Mehta</t>
  </si>
  <si>
    <t>Olivia D'Souza</t>
  </si>
  <si>
    <t>Australia</t>
  </si>
  <si>
    <t>USA</t>
  </si>
  <si>
    <t>Face Sheet Masks</t>
  </si>
  <si>
    <t>Ava Sharma</t>
  </si>
  <si>
    <t>Hair Repair Oil</t>
  </si>
  <si>
    <t>Liam Patel</t>
  </si>
  <si>
    <t>Vitamin C Cream</t>
  </si>
  <si>
    <t>Niacinamide Toner</t>
  </si>
  <si>
    <t>Under Eye Cream</t>
  </si>
  <si>
    <t>Hydrating Face Serum</t>
  </si>
  <si>
    <t>Charcoal Face Wash</t>
  </si>
  <si>
    <t>Mason Kapoor</t>
  </si>
  <si>
    <t>Anti-Aging Serum</t>
  </si>
  <si>
    <t>SPF 50 Sunscreen</t>
  </si>
  <si>
    <t>Revenue by Product</t>
  </si>
  <si>
    <t>Revenue by Country</t>
  </si>
  <si>
    <t>Sum of Amount ($)</t>
  </si>
  <si>
    <t>Grand Total</t>
  </si>
  <si>
    <t>Revenue by Salesperson</t>
  </si>
  <si>
    <t>Boxes Shipped by Product</t>
  </si>
  <si>
    <t>Sum of Boxes Shipped</t>
  </si>
  <si>
    <t>Consumer Brand Performance</t>
  </si>
  <si>
    <t xml:space="preserve">Analysis Dashboard </t>
  </si>
  <si>
    <t>by Maliyah Calliste Timothy</t>
  </si>
  <si>
    <t>Revenue</t>
  </si>
  <si>
    <t>Products</t>
  </si>
  <si>
    <t>Countries</t>
  </si>
  <si>
    <t>Records</t>
  </si>
  <si>
    <t>Executive Summary</t>
  </si>
  <si>
    <t>This analysis examined $2.9 million in sales across 15 products and 6 international markets. Results showed that hydration and repair-focused skincare products generated the strongest revenue performance, while the United States emerged as the highest-performing market. The findings suggest opportunities to increase investment in high-performing product categories, leverage successful markets for future product launches, and investigate growth opportunities in underperforming regions.</t>
  </si>
  <si>
    <t>Key Insights</t>
  </si>
  <si>
    <t>Product Performance</t>
  </si>
  <si>
    <t>Tea Tree Moisturizer generated the highest revenue ($260,905), making it the company's top-performing product.</t>
  </si>
  <si>
    <t>Hydrating Face Serum and Hair Repair Oil ranked among the highest revenue-generating products, indicating strong consumer demand for hydration and repair-focused skincare solutions.</t>
  </si>
  <si>
    <t>The top-performing products were concentrated within skincare treatment categories rather than cleansers and toners.</t>
  </si>
  <si>
    <t>Market Performance</t>
  </si>
  <si>
    <t>The United States generated the highest revenue ($628,488), accounting for the largest share of total sales.</t>
  </si>
  <si>
    <t>New Zealand performed exceptionally well despite its smaller population, suggesting strong market penetration and customer demand.</t>
  </si>
  <si>
    <t>India generated the lowest revenue ($346,435), indicating potential challenges related to market awareness, pricing, distribution, or consumer preferences.</t>
  </si>
  <si>
    <t>Portfolio Trends</t>
  </si>
  <si>
    <t>Products focused on hydration, repair, and anti-aging consistently outperformed other categories.</t>
  </si>
  <si>
    <t>Revenue appears concentrated among a small group of high-performing products, highlighting opportunities to further strengthen successful product lines.</t>
  </si>
  <si>
    <t>Strategic Recommendations</t>
  </si>
  <si>
    <t>Recommendation 1: Expand High-Performing Product Categories</t>
  </si>
  <si>
    <t>Increase marketing investment and promotional efforts for hydration, repair, and anti-aging products, as these categories contribute the largest share of revenue and demonstrate strong customer demand.</t>
  </si>
  <si>
    <t>Recommendation 2: Leverage Strong Markets</t>
  </si>
  <si>
    <t>Utilize the United States as a primary testing market for new product launches and marketing campaigns before expanding to additional regions.</t>
  </si>
  <si>
    <t>Recommendation 3: Investigate Growth Opportunities in India</t>
  </si>
  <si>
    <t>Conduct market research to identify barriers to growth in India and evaluate opportunities related to pricing, distribution, product positioning, and customer preferences.</t>
  </si>
  <si>
    <t>Recommendation 4: Replicate Success in New Zealand</t>
  </si>
  <si>
    <t>Analyze the factors contributing to strong performance in New Zealand and apply successful strategies to other international markets where growth potential exists.</t>
  </si>
  <si>
    <t>Recommendation 5: Optimize Lower-Performing Products</t>
  </si>
  <si>
    <t>Review underperforming products such as Charcoal Face Wash and Salicylic Acid Cleanser to determine whether product reformulation, repositioning, or increased marketing support is needed.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</si>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</sst>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&quot;$&quot;#,##0.00"/>
  </numFmts>
  <fonts count="10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 Light"/>
      <scheme val="major"/>
    </font>
    <font>
      <b/>
      <sz val="13.5"/>
      <color theme="1"/>
      <name val="Calibri Light"/>
      <scheme val="major"/>
    </font>
    <font>
      <sz val="11"/>
      <color theme="1"/>
      <name val="Calibri Light"/>
      <scheme val="major"/>
    </font>
    <font>
      <b/>
      <sz val="18"/>
      <color rgb="FF242424"/>
      <name val="Aptos Narrow"/>
      <charset val="1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2" fillId="0" borderId="0" xfId="0" applyFont="1"/>
    <xf numFmtId="16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3" fillId="0" borderId="0" xfId="0" applyFont="1" applyAlignment="1"/>
    <xf numFmtId="0" fontId="8" fillId="0" borderId="0" xfId="0" applyFont="1" applyAlignment="1">
      <alignment horizontal="left" wrapText="1"/>
    </xf>
    <xf numFmtId="0" fontId="9" fillId="0" borderId="0" xfId="0" applyFont="1"/>
    <xf numFmtId="165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numFmt numFmtId="165" formatCode="&quot;$&quot;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0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Brand Performance Analysis.xlsx.xlsx]Analysis!PivotTable2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Analysis!$D$4:$D$10</c:f>
              <c:strCache>
                <c:ptCount val="6"/>
                <c:pt idx="0">
                  <c:v>India</c:v>
                </c:pt>
                <c:pt idx="1">
                  <c:v>Canada</c:v>
                </c:pt>
                <c:pt idx="2">
                  <c:v>UK</c:v>
                </c:pt>
                <c:pt idx="3">
                  <c:v>Australia</c:v>
                </c:pt>
                <c:pt idx="4">
                  <c:v>New Zealand</c:v>
                </c:pt>
                <c:pt idx="5">
                  <c:v>USA</c:v>
                </c:pt>
              </c:strCache>
            </c:strRef>
          </c:cat>
          <c:val>
            <c:numRef>
              <c:f>Analysis!$E$4:$E$10</c:f>
              <c:numCache>
                <c:formatCode>"$"#,##0.00</c:formatCode>
                <c:ptCount val="6"/>
                <c:pt idx="0">
                  <c:v>346434.91999999993</c:v>
                </c:pt>
                <c:pt idx="1">
                  <c:v>374562.30999999994</c:v>
                </c:pt>
                <c:pt idx="2">
                  <c:v>497061.54000000004</c:v>
                </c:pt>
                <c:pt idx="3">
                  <c:v>505497.64</c:v>
                </c:pt>
                <c:pt idx="4">
                  <c:v>557059.84999999986</c:v>
                </c:pt>
                <c:pt idx="5">
                  <c:v>628487.85999999975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1-4227-B724-F0A07F29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7268872"/>
        <c:axId val="1807229448"/>
      </c:barChart>
      <c:catAx>
        <c:axId val="1807268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29448"/>
        <c:crosses val="autoZero"/>
        <c:auto val="1"/>
        <c:lblAlgn val="ctr"/>
        <c:lblOffset val="100"/>
        <c:noMultiLvlLbl val="0"/>
      </c:catAx>
      <c:valAx>
        <c:axId val="1807229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268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Brand Performance Analysis.xlsx.xlsx]Analysis!PivotTable1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Analysis!$A$4:$A$19</c:f>
              <c:strCache>
                <c:ptCount val="15"/>
                <c:pt idx="0">
                  <c:v>Charcoal Face Wash</c:v>
                </c:pt>
                <c:pt idx="1">
                  <c:v>Salicylic Acid Cleanser</c:v>
                </c:pt>
                <c:pt idx="2">
                  <c:v>Niacinamide Toner</c:v>
                </c:pt>
                <c:pt idx="3">
                  <c:v>Rose Water Toner</c:v>
                </c:pt>
                <c:pt idx="4">
                  <c:v>Lip Balm Pack</c:v>
                </c:pt>
                <c:pt idx="5">
                  <c:v>Under Eye Cream</c:v>
                </c:pt>
                <c:pt idx="6">
                  <c:v>Face Sheet Masks</c:v>
                </c:pt>
                <c:pt idx="7">
                  <c:v>Aloe Vera Gel</c:v>
                </c:pt>
                <c:pt idx="8">
                  <c:v>Vitamin C Cream</c:v>
                </c:pt>
                <c:pt idx="9">
                  <c:v>SPF 50 Sunscreen</c:v>
                </c:pt>
                <c:pt idx="10">
                  <c:v>Body Butter Cream</c:v>
                </c:pt>
                <c:pt idx="11">
                  <c:v>Anti-Aging Serum</c:v>
                </c:pt>
                <c:pt idx="12">
                  <c:v>Hair Repair Oil</c:v>
                </c:pt>
                <c:pt idx="13">
                  <c:v>Hydrating Face Serum</c:v>
                </c:pt>
                <c:pt idx="14">
                  <c:v>Tea Tree Moisturizer</c:v>
                </c:pt>
              </c:strCache>
            </c:strRef>
          </c:cat>
          <c:val>
            <c:numRef>
              <c:f>Analysis!$B$4:$B$19</c:f>
              <c:numCache>
                <c:formatCode>"$"#,##0.00</c:formatCode>
                <c:ptCount val="15"/>
                <c:pt idx="0">
                  <c:v>102733.42</c:v>
                </c:pt>
                <c:pt idx="1">
                  <c:v>110329.71999999999</c:v>
                </c:pt>
                <c:pt idx="2">
                  <c:v>141841.47000000003</c:v>
                </c:pt>
                <c:pt idx="3">
                  <c:v>151324.68000000002</c:v>
                </c:pt>
                <c:pt idx="4">
                  <c:v>170100.68999999997</c:v>
                </c:pt>
                <c:pt idx="5">
                  <c:v>195936.57</c:v>
                </c:pt>
                <c:pt idx="6">
                  <c:v>197882.89000000004</c:v>
                </c:pt>
                <c:pt idx="7">
                  <c:v>202901.75</c:v>
                </c:pt>
                <c:pt idx="8">
                  <c:v>218210.84</c:v>
                </c:pt>
                <c:pt idx="9">
                  <c:v>218576.97</c:v>
                </c:pt>
                <c:pt idx="10">
                  <c:v>222923.58000000005</c:v>
                </c:pt>
                <c:pt idx="11">
                  <c:v>232247.99999999997</c:v>
                </c:pt>
                <c:pt idx="12">
                  <c:v>232864.77000000002</c:v>
                </c:pt>
                <c:pt idx="13">
                  <c:v>250323.33000000007</c:v>
                </c:pt>
                <c:pt idx="14">
                  <c:v>260905.44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F-4195-8135-3A297EF7A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433224"/>
        <c:axId val="2015435272"/>
      </c:barChart>
      <c:catAx>
        <c:axId val="201543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35272"/>
        <c:crosses val="autoZero"/>
        <c:auto val="1"/>
        <c:lblAlgn val="ctr"/>
        <c:lblOffset val="100"/>
        <c:noMultiLvlLbl val="0"/>
      </c:catAx>
      <c:valAx>
        <c:axId val="201543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433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Brand Performance Analysis.xlsx.xlsx]Analysis!PivotTable4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Shipment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Analysis!$D$27:$D$42</c:f>
              <c:strCache>
                <c:ptCount val="15"/>
                <c:pt idx="0">
                  <c:v>Charcoal Face Wash</c:v>
                </c:pt>
                <c:pt idx="1">
                  <c:v>Salicylic Acid Cleanser</c:v>
                </c:pt>
                <c:pt idx="2">
                  <c:v>Niacinamide Toner</c:v>
                </c:pt>
                <c:pt idx="3">
                  <c:v>Rose Water Toner</c:v>
                </c:pt>
                <c:pt idx="4">
                  <c:v>Face Sheet Masks</c:v>
                </c:pt>
                <c:pt idx="5">
                  <c:v>Under Eye Cream</c:v>
                </c:pt>
                <c:pt idx="6">
                  <c:v>Lip Balm Pack</c:v>
                </c:pt>
                <c:pt idx="7">
                  <c:v>Aloe Vera Gel</c:v>
                </c:pt>
                <c:pt idx="8">
                  <c:v>Hair Repair Oil</c:v>
                </c:pt>
                <c:pt idx="9">
                  <c:v>SPF 50 Sunscreen</c:v>
                </c:pt>
                <c:pt idx="10">
                  <c:v>Body Butter Cream</c:v>
                </c:pt>
                <c:pt idx="11">
                  <c:v>Vitamin C Cream</c:v>
                </c:pt>
                <c:pt idx="12">
                  <c:v>Anti-Aging Serum</c:v>
                </c:pt>
                <c:pt idx="13">
                  <c:v>Hydrating Face Serum</c:v>
                </c:pt>
                <c:pt idx="14">
                  <c:v>Tea Tree Moisturizer</c:v>
                </c:pt>
              </c:strCache>
            </c:strRef>
          </c:cat>
          <c:val>
            <c:numRef>
              <c:f>Analysis!$E$27:$E$42</c:f>
              <c:numCache>
                <c:formatCode>General</c:formatCode>
                <c:ptCount val="15"/>
                <c:pt idx="0">
                  <c:v>3562</c:v>
                </c:pt>
                <c:pt idx="1">
                  <c:v>3613</c:v>
                </c:pt>
                <c:pt idx="2">
                  <c:v>4257</c:v>
                </c:pt>
                <c:pt idx="3">
                  <c:v>4455</c:v>
                </c:pt>
                <c:pt idx="4">
                  <c:v>5893</c:v>
                </c:pt>
                <c:pt idx="5">
                  <c:v>6184</c:v>
                </c:pt>
                <c:pt idx="6">
                  <c:v>6281</c:v>
                </c:pt>
                <c:pt idx="7">
                  <c:v>6941</c:v>
                </c:pt>
                <c:pt idx="8">
                  <c:v>6983</c:v>
                </c:pt>
                <c:pt idx="9">
                  <c:v>7018</c:v>
                </c:pt>
                <c:pt idx="10">
                  <c:v>7065</c:v>
                </c:pt>
                <c:pt idx="11">
                  <c:v>7182</c:v>
                </c:pt>
                <c:pt idx="12">
                  <c:v>7423</c:v>
                </c:pt>
                <c:pt idx="13">
                  <c:v>7977</c:v>
                </c:pt>
                <c:pt idx="14">
                  <c:v>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5-4739-857F-E0C308B69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9480584"/>
        <c:axId val="619482632"/>
      </c:barChart>
      <c:catAx>
        <c:axId val="61948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482632"/>
        <c:crosses val="autoZero"/>
        <c:auto val="1"/>
        <c:lblAlgn val="ctr"/>
        <c:lblOffset val="100"/>
        <c:noMultiLvlLbl val="0"/>
      </c:catAx>
      <c:valAx>
        <c:axId val="61948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480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[Consumer Brand Performance Analysis.xlsx.xlsx]Analysis!PivotTable3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Salesperson Revenue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Analysis!$A$27:$A$37</c:f>
              <c:strCache>
                <c:ptCount val="10"/>
                <c:pt idx="0">
                  <c:v>Mason Kapoor</c:v>
                </c:pt>
                <c:pt idx="1">
                  <c:v>Ava Sharma</c:v>
                </c:pt>
                <c:pt idx="2">
                  <c:v>Liam Patel</c:v>
                </c:pt>
                <c:pt idx="3">
                  <c:v>Noah Mehta</c:v>
                </c:pt>
                <c:pt idx="4">
                  <c:v>Ananya Gupta</c:v>
                </c:pt>
                <c:pt idx="5">
                  <c:v>Lucas Verma</c:v>
                </c:pt>
                <c:pt idx="6">
                  <c:v>Ethan Reddy</c:v>
                </c:pt>
                <c:pt idx="7">
                  <c:v>Isabella Roy</c:v>
                </c:pt>
                <c:pt idx="8">
                  <c:v>Sophia Nair</c:v>
                </c:pt>
                <c:pt idx="9">
                  <c:v>Olivia D'Souza</c:v>
                </c:pt>
              </c:strCache>
            </c:strRef>
          </c:cat>
          <c:val>
            <c:numRef>
              <c:f>Analysis!$B$27:$B$37</c:f>
              <c:numCache>
                <c:formatCode>"$"#,##0.00</c:formatCode>
                <c:ptCount val="10"/>
                <c:pt idx="0">
                  <c:v>223432.68999999994</c:v>
                </c:pt>
                <c:pt idx="1">
                  <c:v>246174.27999999997</c:v>
                </c:pt>
                <c:pt idx="2">
                  <c:v>270960.55000000005</c:v>
                </c:pt>
                <c:pt idx="3">
                  <c:v>272188.08</c:v>
                </c:pt>
                <c:pt idx="4">
                  <c:v>293204.6700000001</c:v>
                </c:pt>
                <c:pt idx="5">
                  <c:v>295166.91000000009</c:v>
                </c:pt>
                <c:pt idx="6">
                  <c:v>298595.61</c:v>
                </c:pt>
                <c:pt idx="7">
                  <c:v>302087.59999999998</c:v>
                </c:pt>
                <c:pt idx="8">
                  <c:v>319887.82</c:v>
                </c:pt>
                <c:pt idx="9">
                  <c:v>387405.90999999992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1-4FC1-9632-7B13AFDD8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5494791"/>
        <c:axId val="1032696840"/>
      </c:barChart>
      <c:catAx>
        <c:axId val="1365494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96840"/>
        <c:crosses val="autoZero"/>
        <c:auto val="1"/>
        <c:lblAlgn val="ctr"/>
        <c:lblOffset val="100"/>
        <c:noMultiLvlLbl val="0"/>
      </c:catAx>
      <c:valAx>
        <c:axId val="103269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494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4</xdr:row>
      <xdr:rowOff>19050</xdr:rowOff>
    </xdr:from>
    <xdr:to>
      <xdr:col>3</xdr:col>
      <xdr:colOff>3200400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23582-854F-4FCD-83DA-E66D72223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19050</xdr:rowOff>
    </xdr:from>
    <xdr:to>
      <xdr:col>2</xdr:col>
      <xdr:colOff>257175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7B0873-6063-4389-8830-C7CF972AB8E7}"/>
            </a:ext>
            <a:ext uri="{147F2762-F138-4A5C-976F-8EAC2B608ADB}">
              <a16:predDERef xmlns:a16="http://schemas.microsoft.com/office/drawing/2014/main" pred="{56623582-854F-4FCD-83DA-E66D72223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18</xdr:row>
      <xdr:rowOff>180975</xdr:rowOff>
    </xdr:from>
    <xdr:to>
      <xdr:col>2</xdr:col>
      <xdr:colOff>381000</xdr:colOff>
      <xdr:row>32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44E465-8874-4BD7-AF4E-11D3FDE4F4EF}"/>
            </a:ext>
            <a:ext uri="{147F2762-F138-4A5C-976F-8EAC2B608ADB}">
              <a16:predDERef xmlns:a16="http://schemas.microsoft.com/office/drawing/2014/main" pred="{2A7B0873-6063-4389-8830-C7CF972AB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542925</xdr:colOff>
      <xdr:row>19</xdr:row>
      <xdr:rowOff>28575</xdr:rowOff>
    </xdr:from>
    <xdr:to>
      <xdr:col>3</xdr:col>
      <xdr:colOff>3228975</xdr:colOff>
      <xdr:row>32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DFCEF2-0023-4B4A-BA02-9A27828A1DE2}"/>
            </a:ext>
            <a:ext uri="{147F2762-F138-4A5C-976F-8EAC2B608ADB}">
              <a16:predDERef xmlns:a16="http://schemas.microsoft.com/office/drawing/2014/main" pred="{D844E465-8874-4BD7-AF4E-11D3FDE4F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5.594018171294" createdVersion="8" refreshedVersion="8" minRefreshableVersion="3" recordCount="374" xr:uid="{307736FF-1D5A-458C-B9BD-C3359DB92EAA}">
  <cacheSource type="worksheet">
    <worksheetSource name="cosmetics_sales_data"/>
  </cacheSource>
  <cacheFields count="6">
    <cacheField name="Sales Person" numFmtId="0">
      <sharedItems count="10">
        <s v="Lucas Verma"/>
        <s v="Ethan Reddy"/>
        <s v="Ananya Gupta"/>
        <s v="Sophia Nair"/>
        <s v="Isabella Roy"/>
        <s v="Noah Mehta"/>
        <s v="Olivia D'Souza"/>
        <s v="Ava Sharma"/>
        <s v="Liam Patel"/>
        <s v="Mason Kapoor"/>
      </sharedItems>
    </cacheField>
    <cacheField name="Country" numFmtId="0">
      <sharedItems count="6">
        <s v="Canada"/>
        <s v="UK"/>
        <s v="India"/>
        <s v="New Zealand"/>
        <s v="Australia"/>
        <s v="USA"/>
      </sharedItems>
    </cacheField>
    <cacheField name="Product" numFmtId="0">
      <sharedItems count="15">
        <s v="Aloe Vera Gel"/>
        <s v="Body Butter Cream"/>
        <s v="Salicylic Acid Cleanser"/>
        <s v="Lip Balm Pack"/>
        <s v="Rose Water Toner"/>
        <s v="Tea Tree Moisturizer"/>
        <s v="Face Sheet Masks"/>
        <s v="Hair Repair Oil"/>
        <s v="Vitamin C Cream"/>
        <s v="Niacinamide Toner"/>
        <s v="Under Eye Cream"/>
        <s v="Hydrating Face Serum"/>
        <s v="Charcoal Face Wash"/>
        <s v="Anti-Aging Serum"/>
        <s v="SPF 50 Sunscreen"/>
      </sharedItems>
    </cacheField>
    <cacheField name="Date" numFmtId="14">
      <sharedItems containsSemiMixedTypes="0" containsNonDate="0" containsDate="1" containsString="0" minDate="2022-01-01T00:00:00" maxDate="2022-08-31T00:00:00"/>
    </cacheField>
    <cacheField name="Amount ($)" numFmtId="0">
      <sharedItems containsSemiMixedTypes="0" containsString="0" containsNumber="1" minValue="119.82" maxValue="23977.48"/>
    </cacheField>
    <cacheField name="Boxes Shipped" numFmtId="0">
      <sharedItems containsSemiMixedTypes="0" containsString="0" containsNumber="1" containsInteger="1" minValue="10" maxValue="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x v="0"/>
    <d v="2022-04-30T00:00:00"/>
    <n v="7897.13"/>
    <n v="358"/>
  </r>
  <r>
    <x v="1"/>
    <x v="1"/>
    <x v="0"/>
    <d v="2022-01-25T00:00:00"/>
    <n v="16376.88"/>
    <n v="449"/>
  </r>
  <r>
    <x v="2"/>
    <x v="2"/>
    <x v="1"/>
    <d v="2022-08-22T00:00:00"/>
    <n v="5599.68"/>
    <n v="264"/>
  </r>
  <r>
    <x v="2"/>
    <x v="3"/>
    <x v="2"/>
    <d v="2022-08-26T00:00:00"/>
    <n v="2966.47"/>
    <n v="144"/>
  </r>
  <r>
    <x v="3"/>
    <x v="1"/>
    <x v="1"/>
    <d v="2022-05-19T00:00:00"/>
    <n v="6828.68"/>
    <n v="484"/>
  </r>
  <r>
    <x v="2"/>
    <x v="1"/>
    <x v="3"/>
    <d v="2022-08-27T00:00:00"/>
    <n v="2555.9499999999998"/>
    <n v="192"/>
  </r>
  <r>
    <x v="2"/>
    <x v="3"/>
    <x v="4"/>
    <d v="2022-04-29T00:00:00"/>
    <n v="832.92"/>
    <n v="19"/>
  </r>
  <r>
    <x v="3"/>
    <x v="3"/>
    <x v="5"/>
    <d v="2022-07-15T00:00:00"/>
    <n v="997.96"/>
    <n v="36"/>
  </r>
  <r>
    <x v="4"/>
    <x v="3"/>
    <x v="3"/>
    <d v="2022-02-04T00:00:00"/>
    <n v="7754.36"/>
    <n v="466"/>
  </r>
  <r>
    <x v="5"/>
    <x v="2"/>
    <x v="0"/>
    <d v="2022-05-16T00:00:00"/>
    <n v="5507.19"/>
    <n v="176"/>
  </r>
  <r>
    <x v="6"/>
    <x v="4"/>
    <x v="1"/>
    <d v="2022-01-27T00:00:00"/>
    <n v="1119.6600000000001"/>
    <n v="87"/>
  </r>
  <r>
    <x v="3"/>
    <x v="5"/>
    <x v="6"/>
    <d v="2022-06-02T00:00:00"/>
    <n v="6853.59"/>
    <n v="384"/>
  </r>
  <r>
    <x v="7"/>
    <x v="5"/>
    <x v="7"/>
    <d v="2022-04-06T00:00:00"/>
    <n v="12147.98"/>
    <n v="254"/>
  </r>
  <r>
    <x v="0"/>
    <x v="3"/>
    <x v="0"/>
    <d v="2022-07-26T00:00:00"/>
    <n v="923.46"/>
    <n v="79"/>
  </r>
  <r>
    <x v="7"/>
    <x v="0"/>
    <x v="2"/>
    <d v="2022-01-10T00:00:00"/>
    <n v="442.07"/>
    <n v="24"/>
  </r>
  <r>
    <x v="8"/>
    <x v="0"/>
    <x v="0"/>
    <d v="2022-01-04T00:00:00"/>
    <n v="3900.37"/>
    <n v="83"/>
  </r>
  <r>
    <x v="7"/>
    <x v="3"/>
    <x v="1"/>
    <d v="2022-06-02T00:00:00"/>
    <n v="801.63"/>
    <n v="25"/>
  </r>
  <r>
    <x v="4"/>
    <x v="2"/>
    <x v="0"/>
    <d v="2022-03-03T00:00:00"/>
    <n v="10101.780000000001"/>
    <n v="251"/>
  </r>
  <r>
    <x v="3"/>
    <x v="0"/>
    <x v="8"/>
    <d v="2022-05-29T00:00:00"/>
    <n v="6600.15"/>
    <n v="417"/>
  </r>
  <r>
    <x v="0"/>
    <x v="5"/>
    <x v="9"/>
    <d v="2022-05-28T00:00:00"/>
    <n v="5302.98"/>
    <n v="258"/>
  </r>
  <r>
    <x v="5"/>
    <x v="1"/>
    <x v="10"/>
    <d v="2022-08-02T00:00:00"/>
    <n v="6310.09"/>
    <n v="257"/>
  </r>
  <r>
    <x v="5"/>
    <x v="0"/>
    <x v="11"/>
    <d v="2022-07-17T00:00:00"/>
    <n v="2369.1799999999998"/>
    <n v="211"/>
  </r>
  <r>
    <x v="3"/>
    <x v="1"/>
    <x v="0"/>
    <d v="2022-05-14T00:00:00"/>
    <n v="16418.97"/>
    <n v="358"/>
  </r>
  <r>
    <x v="6"/>
    <x v="3"/>
    <x v="8"/>
    <d v="2022-01-15T00:00:00"/>
    <n v="10774.83"/>
    <n v="226"/>
  </r>
  <r>
    <x v="3"/>
    <x v="4"/>
    <x v="9"/>
    <d v="2022-04-13T00:00:00"/>
    <n v="5958.48"/>
    <n v="162"/>
  </r>
  <r>
    <x v="6"/>
    <x v="5"/>
    <x v="5"/>
    <d v="2022-07-22T00:00:00"/>
    <n v="1194.96"/>
    <n v="74"/>
  </r>
  <r>
    <x v="4"/>
    <x v="4"/>
    <x v="12"/>
    <d v="2022-04-11T00:00:00"/>
    <n v="314.68"/>
    <n v="18"/>
  </r>
  <r>
    <x v="9"/>
    <x v="4"/>
    <x v="13"/>
    <d v="2022-06-18T00:00:00"/>
    <n v="1442.65"/>
    <n v="91"/>
  </r>
  <r>
    <x v="8"/>
    <x v="5"/>
    <x v="10"/>
    <d v="2022-06-12T00:00:00"/>
    <n v="2810.34"/>
    <n v="78"/>
  </r>
  <r>
    <x v="9"/>
    <x v="1"/>
    <x v="10"/>
    <d v="2022-01-13T00:00:00"/>
    <n v="1394.62"/>
    <n v="57"/>
  </r>
  <r>
    <x v="8"/>
    <x v="4"/>
    <x v="9"/>
    <d v="2022-04-02T00:00:00"/>
    <n v="8143.6"/>
    <n v="213"/>
  </r>
  <r>
    <x v="9"/>
    <x v="1"/>
    <x v="1"/>
    <d v="2022-07-10T00:00:00"/>
    <n v="12885.94"/>
    <n v="340"/>
  </r>
  <r>
    <x v="8"/>
    <x v="0"/>
    <x v="3"/>
    <d v="2022-08-03T00:00:00"/>
    <n v="16223.13"/>
    <n v="362"/>
  </r>
  <r>
    <x v="5"/>
    <x v="1"/>
    <x v="6"/>
    <d v="2022-03-18T00:00:00"/>
    <n v="8330.4699999999993"/>
    <n v="217"/>
  </r>
  <r>
    <x v="9"/>
    <x v="3"/>
    <x v="4"/>
    <d v="2022-06-19T00:00:00"/>
    <n v="5384.2"/>
    <n v="290"/>
  </r>
  <r>
    <x v="7"/>
    <x v="2"/>
    <x v="11"/>
    <d v="2022-03-07T00:00:00"/>
    <n v="19594.27"/>
    <n v="450"/>
  </r>
  <r>
    <x v="7"/>
    <x v="3"/>
    <x v="8"/>
    <d v="2022-05-27T00:00:00"/>
    <n v="12213.24"/>
    <n v="266"/>
  </r>
  <r>
    <x v="0"/>
    <x v="1"/>
    <x v="11"/>
    <d v="2022-05-11T00:00:00"/>
    <n v="4242.5600000000004"/>
    <n v="357"/>
  </r>
  <r>
    <x v="9"/>
    <x v="4"/>
    <x v="6"/>
    <d v="2022-03-20T00:00:00"/>
    <n v="13379.16"/>
    <n v="498"/>
  </r>
  <r>
    <x v="0"/>
    <x v="4"/>
    <x v="5"/>
    <d v="2022-03-25T00:00:00"/>
    <n v="9353.99"/>
    <n v="246"/>
  </r>
  <r>
    <x v="2"/>
    <x v="3"/>
    <x v="8"/>
    <d v="2022-08-26T00:00:00"/>
    <n v="5032.7299999999996"/>
    <n v="147"/>
  </r>
  <r>
    <x v="9"/>
    <x v="1"/>
    <x v="3"/>
    <d v="2022-01-09T00:00:00"/>
    <n v="3041.08"/>
    <n v="103"/>
  </r>
  <r>
    <x v="2"/>
    <x v="0"/>
    <x v="7"/>
    <d v="2022-03-25T00:00:00"/>
    <n v="3258.73"/>
    <n v="150"/>
  </r>
  <r>
    <x v="8"/>
    <x v="5"/>
    <x v="13"/>
    <d v="2022-05-17T00:00:00"/>
    <n v="10452.26"/>
    <n v="242"/>
  </r>
  <r>
    <x v="1"/>
    <x v="5"/>
    <x v="11"/>
    <d v="2022-05-29T00:00:00"/>
    <n v="8642.86"/>
    <n v="298"/>
  </r>
  <r>
    <x v="2"/>
    <x v="2"/>
    <x v="4"/>
    <d v="2022-03-31T00:00:00"/>
    <n v="2523.86"/>
    <n v="102"/>
  </r>
  <r>
    <x v="1"/>
    <x v="0"/>
    <x v="12"/>
    <d v="2022-05-07T00:00:00"/>
    <n v="11599.9"/>
    <n v="324"/>
  </r>
  <r>
    <x v="8"/>
    <x v="3"/>
    <x v="14"/>
    <d v="2022-05-27T00:00:00"/>
    <n v="15606.61"/>
    <n v="331"/>
  </r>
  <r>
    <x v="9"/>
    <x v="3"/>
    <x v="3"/>
    <d v="2022-07-13T00:00:00"/>
    <n v="9583.51"/>
    <n v="312"/>
  </r>
  <r>
    <x v="5"/>
    <x v="3"/>
    <x v="5"/>
    <d v="2022-08-13T00:00:00"/>
    <n v="10192.85"/>
    <n v="373"/>
  </r>
  <r>
    <x v="6"/>
    <x v="5"/>
    <x v="11"/>
    <d v="2022-05-02T00:00:00"/>
    <n v="21701.439999999999"/>
    <n v="483"/>
  </r>
  <r>
    <x v="3"/>
    <x v="2"/>
    <x v="7"/>
    <d v="2022-08-28T00:00:00"/>
    <n v="6496.58"/>
    <n v="366"/>
  </r>
  <r>
    <x v="2"/>
    <x v="3"/>
    <x v="1"/>
    <d v="2022-02-02T00:00:00"/>
    <n v="16383.31"/>
    <n v="438"/>
  </r>
  <r>
    <x v="9"/>
    <x v="3"/>
    <x v="1"/>
    <d v="2022-06-03T00:00:00"/>
    <n v="15834.45"/>
    <n v="361"/>
  </r>
  <r>
    <x v="5"/>
    <x v="1"/>
    <x v="3"/>
    <d v="2022-05-17T00:00:00"/>
    <n v="7501.02"/>
    <n v="489"/>
  </r>
  <r>
    <x v="5"/>
    <x v="1"/>
    <x v="11"/>
    <d v="2022-06-24T00:00:00"/>
    <n v="922.43"/>
    <n v="29"/>
  </r>
  <r>
    <x v="2"/>
    <x v="2"/>
    <x v="2"/>
    <d v="2022-04-28T00:00:00"/>
    <n v="6141.45"/>
    <n v="213"/>
  </r>
  <r>
    <x v="5"/>
    <x v="3"/>
    <x v="4"/>
    <d v="2022-03-23T00:00:00"/>
    <n v="1745.79"/>
    <n v="156"/>
  </r>
  <r>
    <x v="8"/>
    <x v="3"/>
    <x v="12"/>
    <d v="2022-03-25T00:00:00"/>
    <n v="7268.2"/>
    <n v="198"/>
  </r>
  <r>
    <x v="3"/>
    <x v="1"/>
    <x v="14"/>
    <d v="2022-04-25T00:00:00"/>
    <n v="424.38"/>
    <n v="30"/>
  </r>
  <r>
    <x v="5"/>
    <x v="3"/>
    <x v="1"/>
    <d v="2022-04-08T00:00:00"/>
    <n v="10711.79"/>
    <n v="331"/>
  </r>
  <r>
    <x v="5"/>
    <x v="5"/>
    <x v="8"/>
    <d v="2022-03-23T00:00:00"/>
    <n v="8154.9"/>
    <n v="248"/>
  </r>
  <r>
    <x v="7"/>
    <x v="3"/>
    <x v="5"/>
    <d v="2022-07-25T00:00:00"/>
    <n v="5132.41"/>
    <n v="454"/>
  </r>
  <r>
    <x v="4"/>
    <x v="2"/>
    <x v="8"/>
    <d v="2022-03-21T00:00:00"/>
    <n v="6538.2"/>
    <n v="264"/>
  </r>
  <r>
    <x v="1"/>
    <x v="5"/>
    <x v="4"/>
    <d v="2022-07-11T00:00:00"/>
    <n v="13625.75"/>
    <n v="406"/>
  </r>
  <r>
    <x v="4"/>
    <x v="4"/>
    <x v="14"/>
    <d v="2022-06-18T00:00:00"/>
    <n v="3344.35"/>
    <n v="244"/>
  </r>
  <r>
    <x v="3"/>
    <x v="2"/>
    <x v="0"/>
    <d v="2022-03-02T00:00:00"/>
    <n v="11456.29"/>
    <n v="325"/>
  </r>
  <r>
    <x v="7"/>
    <x v="2"/>
    <x v="7"/>
    <d v="2022-04-19T00:00:00"/>
    <n v="8946.01"/>
    <n v="434"/>
  </r>
  <r>
    <x v="2"/>
    <x v="4"/>
    <x v="7"/>
    <d v="2022-01-16T00:00:00"/>
    <n v="15120.74"/>
    <n v="360"/>
  </r>
  <r>
    <x v="1"/>
    <x v="0"/>
    <x v="10"/>
    <d v="2022-04-01T00:00:00"/>
    <n v="9372.51"/>
    <n v="274"/>
  </r>
  <r>
    <x v="2"/>
    <x v="1"/>
    <x v="11"/>
    <d v="2022-05-22T00:00:00"/>
    <n v="4531.42"/>
    <n v="107"/>
  </r>
  <r>
    <x v="5"/>
    <x v="5"/>
    <x v="0"/>
    <d v="2022-01-13T00:00:00"/>
    <n v="16283.5"/>
    <n v="456"/>
  </r>
  <r>
    <x v="7"/>
    <x v="0"/>
    <x v="5"/>
    <d v="2022-01-24T00:00:00"/>
    <n v="10108.84"/>
    <n v="402"/>
  </r>
  <r>
    <x v="5"/>
    <x v="1"/>
    <x v="1"/>
    <d v="2022-08-12T00:00:00"/>
    <n v="3801.03"/>
    <n v="202"/>
  </r>
  <r>
    <x v="8"/>
    <x v="5"/>
    <x v="13"/>
    <d v="2022-07-08T00:00:00"/>
    <n v="1308.08"/>
    <n v="51"/>
  </r>
  <r>
    <x v="5"/>
    <x v="0"/>
    <x v="6"/>
    <d v="2022-07-09T00:00:00"/>
    <n v="13195"/>
    <n v="285"/>
  </r>
  <r>
    <x v="4"/>
    <x v="4"/>
    <x v="9"/>
    <d v="2022-04-25T00:00:00"/>
    <n v="5223.33"/>
    <n v="152"/>
  </r>
  <r>
    <x v="6"/>
    <x v="0"/>
    <x v="2"/>
    <d v="2022-08-30T00:00:00"/>
    <n v="6102.47"/>
    <n v="146"/>
  </r>
  <r>
    <x v="5"/>
    <x v="4"/>
    <x v="11"/>
    <d v="2022-06-29T00:00:00"/>
    <n v="8416.43"/>
    <n v="237"/>
  </r>
  <r>
    <x v="4"/>
    <x v="0"/>
    <x v="10"/>
    <d v="2022-05-22T00:00:00"/>
    <n v="8215.8700000000008"/>
    <n v="334"/>
  </r>
  <r>
    <x v="3"/>
    <x v="0"/>
    <x v="14"/>
    <d v="2022-03-29T00:00:00"/>
    <n v="6936.38"/>
    <n v="322"/>
  </r>
  <r>
    <x v="6"/>
    <x v="3"/>
    <x v="10"/>
    <d v="2022-03-04T00:00:00"/>
    <n v="2422.62"/>
    <n v="180"/>
  </r>
  <r>
    <x v="0"/>
    <x v="5"/>
    <x v="13"/>
    <d v="2022-01-13T00:00:00"/>
    <n v="17090.34"/>
    <n v="366"/>
  </r>
  <r>
    <x v="7"/>
    <x v="0"/>
    <x v="11"/>
    <d v="2022-02-23T00:00:00"/>
    <n v="10497.39"/>
    <n v="324"/>
  </r>
  <r>
    <x v="3"/>
    <x v="1"/>
    <x v="10"/>
    <d v="2022-08-29T00:00:00"/>
    <n v="569.78"/>
    <n v="14"/>
  </r>
  <r>
    <x v="6"/>
    <x v="1"/>
    <x v="11"/>
    <d v="2022-03-15T00:00:00"/>
    <n v="4103.17"/>
    <n v="124"/>
  </r>
  <r>
    <x v="4"/>
    <x v="4"/>
    <x v="14"/>
    <d v="2022-08-26T00:00:00"/>
    <n v="891.11"/>
    <n v="73"/>
  </r>
  <r>
    <x v="4"/>
    <x v="1"/>
    <x v="11"/>
    <d v="2022-01-18T00:00:00"/>
    <n v="14127.27"/>
    <n v="465"/>
  </r>
  <r>
    <x v="6"/>
    <x v="5"/>
    <x v="0"/>
    <d v="2022-03-25T00:00:00"/>
    <n v="5150.2700000000004"/>
    <n v="218"/>
  </r>
  <r>
    <x v="5"/>
    <x v="5"/>
    <x v="6"/>
    <d v="2022-03-08T00:00:00"/>
    <n v="146.69999999999999"/>
    <n v="13"/>
  </r>
  <r>
    <x v="3"/>
    <x v="3"/>
    <x v="7"/>
    <d v="2022-02-17T00:00:00"/>
    <n v="3812.92"/>
    <n v="118"/>
  </r>
  <r>
    <x v="9"/>
    <x v="5"/>
    <x v="9"/>
    <d v="2022-07-23T00:00:00"/>
    <n v="9450.0400000000009"/>
    <n v="218"/>
  </r>
  <r>
    <x v="5"/>
    <x v="1"/>
    <x v="6"/>
    <d v="2022-02-14T00:00:00"/>
    <n v="6457.54"/>
    <n v="293"/>
  </r>
  <r>
    <x v="6"/>
    <x v="1"/>
    <x v="10"/>
    <d v="2022-02-19T00:00:00"/>
    <n v="7925.54"/>
    <n v="309"/>
  </r>
  <r>
    <x v="0"/>
    <x v="5"/>
    <x v="5"/>
    <d v="2022-04-13T00:00:00"/>
    <n v="16861.45"/>
    <n v="385"/>
  </r>
  <r>
    <x v="0"/>
    <x v="3"/>
    <x v="2"/>
    <d v="2022-08-17T00:00:00"/>
    <n v="1650.87"/>
    <n v="72"/>
  </r>
  <r>
    <x v="2"/>
    <x v="4"/>
    <x v="7"/>
    <d v="2022-07-15T00:00:00"/>
    <n v="19861.82"/>
    <n v="424"/>
  </r>
  <r>
    <x v="4"/>
    <x v="0"/>
    <x v="1"/>
    <d v="2022-06-08T00:00:00"/>
    <n v="10647.12"/>
    <n v="234"/>
  </r>
  <r>
    <x v="6"/>
    <x v="4"/>
    <x v="14"/>
    <d v="2022-06-03T00:00:00"/>
    <n v="1564.91"/>
    <n v="49"/>
  </r>
  <r>
    <x v="8"/>
    <x v="2"/>
    <x v="5"/>
    <d v="2022-01-10T00:00:00"/>
    <n v="2126.3000000000002"/>
    <n v="89"/>
  </r>
  <r>
    <x v="8"/>
    <x v="2"/>
    <x v="9"/>
    <d v="2022-04-09T00:00:00"/>
    <n v="2893.74"/>
    <n v="204"/>
  </r>
  <r>
    <x v="4"/>
    <x v="4"/>
    <x v="5"/>
    <d v="2022-04-17T00:00:00"/>
    <n v="13434.96"/>
    <n v="283"/>
  </r>
  <r>
    <x v="1"/>
    <x v="2"/>
    <x v="3"/>
    <d v="2022-07-05T00:00:00"/>
    <n v="8273.51"/>
    <n v="169"/>
  </r>
  <r>
    <x v="5"/>
    <x v="1"/>
    <x v="12"/>
    <d v="2022-04-07T00:00:00"/>
    <n v="4063.64"/>
    <n v="149"/>
  </r>
  <r>
    <x v="6"/>
    <x v="1"/>
    <x v="0"/>
    <d v="2022-08-06T00:00:00"/>
    <n v="6650.47"/>
    <n v="471"/>
  </r>
  <r>
    <x v="8"/>
    <x v="5"/>
    <x v="11"/>
    <d v="2022-02-08T00:00:00"/>
    <n v="4463.32"/>
    <n v="295"/>
  </r>
  <r>
    <x v="7"/>
    <x v="5"/>
    <x v="14"/>
    <d v="2022-03-10T00:00:00"/>
    <n v="16996.07"/>
    <n v="471"/>
  </r>
  <r>
    <x v="6"/>
    <x v="1"/>
    <x v="5"/>
    <d v="2022-08-30T00:00:00"/>
    <n v="4768.41"/>
    <n v="183"/>
  </r>
  <r>
    <x v="4"/>
    <x v="4"/>
    <x v="6"/>
    <d v="2022-03-30T00:00:00"/>
    <n v="18046.13"/>
    <n v="401"/>
  </r>
  <r>
    <x v="9"/>
    <x v="5"/>
    <x v="0"/>
    <d v="2022-05-18T00:00:00"/>
    <n v="868.92"/>
    <n v="46"/>
  </r>
  <r>
    <x v="8"/>
    <x v="4"/>
    <x v="12"/>
    <d v="2022-01-26T00:00:00"/>
    <n v="4759.75"/>
    <n v="96"/>
  </r>
  <r>
    <x v="4"/>
    <x v="5"/>
    <x v="4"/>
    <d v="2022-03-22T00:00:00"/>
    <n v="19576.41"/>
    <n v="402"/>
  </r>
  <r>
    <x v="3"/>
    <x v="5"/>
    <x v="3"/>
    <d v="2022-06-20T00:00:00"/>
    <n v="4824.9399999999996"/>
    <n v="235"/>
  </r>
  <r>
    <x v="4"/>
    <x v="0"/>
    <x v="7"/>
    <d v="2022-05-19T00:00:00"/>
    <n v="5555.52"/>
    <n v="150"/>
  </r>
  <r>
    <x v="0"/>
    <x v="5"/>
    <x v="0"/>
    <d v="2022-01-28T00:00:00"/>
    <n v="6004.2"/>
    <n v="126"/>
  </r>
  <r>
    <x v="3"/>
    <x v="5"/>
    <x v="14"/>
    <d v="2022-04-06T00:00:00"/>
    <n v="12369.81"/>
    <n v="456"/>
  </r>
  <r>
    <x v="5"/>
    <x v="1"/>
    <x v="3"/>
    <d v="2022-05-23T00:00:00"/>
    <n v="861.89"/>
    <n v="29"/>
  </r>
  <r>
    <x v="7"/>
    <x v="4"/>
    <x v="8"/>
    <d v="2022-03-11T00:00:00"/>
    <n v="6048.32"/>
    <n v="360"/>
  </r>
  <r>
    <x v="3"/>
    <x v="2"/>
    <x v="1"/>
    <d v="2022-06-02T00:00:00"/>
    <n v="15051.5"/>
    <n v="418"/>
  </r>
  <r>
    <x v="9"/>
    <x v="1"/>
    <x v="10"/>
    <d v="2022-05-18T00:00:00"/>
    <n v="756.72"/>
    <n v="24"/>
  </r>
  <r>
    <x v="4"/>
    <x v="0"/>
    <x v="2"/>
    <d v="2022-06-22T00:00:00"/>
    <n v="534.64"/>
    <n v="22"/>
  </r>
  <r>
    <x v="7"/>
    <x v="0"/>
    <x v="0"/>
    <d v="2022-04-11T00:00:00"/>
    <n v="12424.63"/>
    <n v="360"/>
  </r>
  <r>
    <x v="8"/>
    <x v="2"/>
    <x v="6"/>
    <d v="2022-05-18T00:00:00"/>
    <n v="15136.25"/>
    <n v="354"/>
  </r>
  <r>
    <x v="8"/>
    <x v="1"/>
    <x v="6"/>
    <d v="2022-03-28T00:00:00"/>
    <n v="580.35"/>
    <n v="31"/>
  </r>
  <r>
    <x v="2"/>
    <x v="2"/>
    <x v="12"/>
    <d v="2022-08-30T00:00:00"/>
    <n v="5804.87"/>
    <n v="119"/>
  </r>
  <r>
    <x v="5"/>
    <x v="3"/>
    <x v="6"/>
    <d v="2022-01-30T00:00:00"/>
    <n v="23152.04"/>
    <n v="487"/>
  </r>
  <r>
    <x v="9"/>
    <x v="0"/>
    <x v="14"/>
    <d v="2022-08-19T00:00:00"/>
    <n v="6174.38"/>
    <n v="232"/>
  </r>
  <r>
    <x v="0"/>
    <x v="2"/>
    <x v="5"/>
    <d v="2022-07-07T00:00:00"/>
    <n v="16619.54"/>
    <n v="425"/>
  </r>
  <r>
    <x v="0"/>
    <x v="3"/>
    <x v="6"/>
    <d v="2022-06-10T00:00:00"/>
    <n v="3214.37"/>
    <n v="161"/>
  </r>
  <r>
    <x v="9"/>
    <x v="4"/>
    <x v="8"/>
    <d v="2022-08-13T00:00:00"/>
    <n v="16037.03"/>
    <n v="475"/>
  </r>
  <r>
    <x v="0"/>
    <x v="5"/>
    <x v="12"/>
    <d v="2022-03-30T00:00:00"/>
    <n v="6455.88"/>
    <n v="299"/>
  </r>
  <r>
    <x v="4"/>
    <x v="3"/>
    <x v="14"/>
    <d v="2022-03-15T00:00:00"/>
    <n v="20659.54"/>
    <n v="478"/>
  </r>
  <r>
    <x v="6"/>
    <x v="0"/>
    <x v="10"/>
    <d v="2022-04-19T00:00:00"/>
    <n v="19030.11"/>
    <n v="434"/>
  </r>
  <r>
    <x v="5"/>
    <x v="2"/>
    <x v="7"/>
    <d v="2022-05-07T00:00:00"/>
    <n v="5042.6099999999997"/>
    <n v="140"/>
  </r>
  <r>
    <x v="3"/>
    <x v="1"/>
    <x v="14"/>
    <d v="2022-02-11T00:00:00"/>
    <n v="15274.46"/>
    <n v="350"/>
  </r>
  <r>
    <x v="9"/>
    <x v="5"/>
    <x v="12"/>
    <d v="2022-03-16T00:00:00"/>
    <n v="13934.58"/>
    <n v="498"/>
  </r>
  <r>
    <x v="0"/>
    <x v="4"/>
    <x v="14"/>
    <d v="2022-08-13T00:00:00"/>
    <n v="858.68"/>
    <n v="73"/>
  </r>
  <r>
    <x v="2"/>
    <x v="2"/>
    <x v="7"/>
    <d v="2022-05-01T00:00:00"/>
    <n v="10382.299999999999"/>
    <n v="390"/>
  </r>
  <r>
    <x v="6"/>
    <x v="5"/>
    <x v="7"/>
    <d v="2022-01-27T00:00:00"/>
    <n v="7825.06"/>
    <n v="499"/>
  </r>
  <r>
    <x v="9"/>
    <x v="0"/>
    <x v="13"/>
    <d v="2022-05-19T00:00:00"/>
    <n v="329"/>
    <n v="16"/>
  </r>
  <r>
    <x v="4"/>
    <x v="4"/>
    <x v="4"/>
    <d v="2022-07-04T00:00:00"/>
    <n v="7014.04"/>
    <n v="191"/>
  </r>
  <r>
    <x v="6"/>
    <x v="2"/>
    <x v="13"/>
    <d v="2022-01-02T00:00:00"/>
    <n v="9390.2800000000007"/>
    <n v="433"/>
  </r>
  <r>
    <x v="5"/>
    <x v="3"/>
    <x v="14"/>
    <d v="2022-08-26T00:00:00"/>
    <n v="3368.14"/>
    <n v="279"/>
  </r>
  <r>
    <x v="6"/>
    <x v="4"/>
    <x v="0"/>
    <d v="2022-07-31T00:00:00"/>
    <n v="2200.4"/>
    <n v="152"/>
  </r>
  <r>
    <x v="3"/>
    <x v="3"/>
    <x v="6"/>
    <d v="2022-06-11T00:00:00"/>
    <n v="381.6"/>
    <n v="23"/>
  </r>
  <r>
    <x v="0"/>
    <x v="5"/>
    <x v="1"/>
    <d v="2022-02-26T00:00:00"/>
    <n v="16452.13"/>
    <n v="440"/>
  </r>
  <r>
    <x v="5"/>
    <x v="2"/>
    <x v="3"/>
    <d v="2022-07-02T00:00:00"/>
    <n v="7364.22"/>
    <n v="306"/>
  </r>
  <r>
    <x v="6"/>
    <x v="5"/>
    <x v="6"/>
    <d v="2022-06-01T00:00:00"/>
    <n v="11031.64"/>
    <n v="300"/>
  </r>
  <r>
    <x v="1"/>
    <x v="2"/>
    <x v="8"/>
    <d v="2022-02-24T00:00:00"/>
    <n v="715.01"/>
    <n v="37"/>
  </r>
  <r>
    <x v="2"/>
    <x v="0"/>
    <x v="2"/>
    <d v="2022-03-01T00:00:00"/>
    <n v="5699.19"/>
    <n v="197"/>
  </r>
  <r>
    <x v="7"/>
    <x v="2"/>
    <x v="14"/>
    <d v="2022-02-16T00:00:00"/>
    <n v="7524.98"/>
    <n v="189"/>
  </r>
  <r>
    <x v="3"/>
    <x v="4"/>
    <x v="7"/>
    <d v="2022-01-01T00:00:00"/>
    <n v="10002.879999999999"/>
    <n v="253"/>
  </r>
  <r>
    <x v="8"/>
    <x v="3"/>
    <x v="7"/>
    <d v="2022-05-29T00:00:00"/>
    <n v="3812.45"/>
    <n v="85"/>
  </r>
  <r>
    <x v="0"/>
    <x v="4"/>
    <x v="12"/>
    <d v="2022-08-03T00:00:00"/>
    <n v="6717.5"/>
    <n v="354"/>
  </r>
  <r>
    <x v="2"/>
    <x v="4"/>
    <x v="5"/>
    <d v="2022-05-09T00:00:00"/>
    <n v="8326.18"/>
    <n v="167"/>
  </r>
  <r>
    <x v="4"/>
    <x v="3"/>
    <x v="2"/>
    <d v="2022-01-31T00:00:00"/>
    <n v="5177.5"/>
    <n v="120"/>
  </r>
  <r>
    <x v="7"/>
    <x v="2"/>
    <x v="1"/>
    <d v="2022-07-02T00:00:00"/>
    <n v="12188.95"/>
    <n v="362"/>
  </r>
  <r>
    <x v="6"/>
    <x v="2"/>
    <x v="7"/>
    <d v="2022-07-23T00:00:00"/>
    <n v="1225.4100000000001"/>
    <n v="80"/>
  </r>
  <r>
    <x v="8"/>
    <x v="1"/>
    <x v="5"/>
    <d v="2022-04-28T00:00:00"/>
    <n v="16191.56"/>
    <n v="422"/>
  </r>
  <r>
    <x v="6"/>
    <x v="3"/>
    <x v="3"/>
    <d v="2022-05-01T00:00:00"/>
    <n v="10095.379999999999"/>
    <n v="364"/>
  </r>
  <r>
    <x v="7"/>
    <x v="5"/>
    <x v="3"/>
    <d v="2022-03-24T00:00:00"/>
    <n v="8901.98"/>
    <n v="335"/>
  </r>
  <r>
    <x v="1"/>
    <x v="2"/>
    <x v="10"/>
    <d v="2022-08-20T00:00:00"/>
    <n v="1761.2"/>
    <n v="138"/>
  </r>
  <r>
    <x v="7"/>
    <x v="1"/>
    <x v="4"/>
    <d v="2022-05-02T00:00:00"/>
    <n v="15189.5"/>
    <n v="308"/>
  </r>
  <r>
    <x v="2"/>
    <x v="5"/>
    <x v="13"/>
    <d v="2022-01-27T00:00:00"/>
    <n v="7077.02"/>
    <n v="189"/>
  </r>
  <r>
    <x v="3"/>
    <x v="4"/>
    <x v="5"/>
    <d v="2022-06-21T00:00:00"/>
    <n v="16495.37"/>
    <n v="424"/>
  </r>
  <r>
    <x v="5"/>
    <x v="1"/>
    <x v="8"/>
    <d v="2022-02-27T00:00:00"/>
    <n v="6530.73"/>
    <n v="215"/>
  </r>
  <r>
    <x v="5"/>
    <x v="4"/>
    <x v="10"/>
    <d v="2022-06-05T00:00:00"/>
    <n v="12915.63"/>
    <n v="388"/>
  </r>
  <r>
    <x v="4"/>
    <x v="0"/>
    <x v="11"/>
    <d v="2022-08-06T00:00:00"/>
    <n v="16425.05"/>
    <n v="375"/>
  </r>
  <r>
    <x v="6"/>
    <x v="4"/>
    <x v="7"/>
    <d v="2022-06-12T00:00:00"/>
    <n v="6775"/>
    <n v="352"/>
  </r>
  <r>
    <x v="0"/>
    <x v="0"/>
    <x v="3"/>
    <d v="2022-03-24T00:00:00"/>
    <n v="4553.78"/>
    <n v="237"/>
  </r>
  <r>
    <x v="8"/>
    <x v="5"/>
    <x v="13"/>
    <d v="2022-04-17T00:00:00"/>
    <n v="20895.189999999999"/>
    <n v="482"/>
  </r>
  <r>
    <x v="3"/>
    <x v="1"/>
    <x v="11"/>
    <d v="2022-07-16T00:00:00"/>
    <n v="14822.36"/>
    <n v="318"/>
  </r>
  <r>
    <x v="1"/>
    <x v="3"/>
    <x v="4"/>
    <d v="2022-03-27T00:00:00"/>
    <n v="3428.81"/>
    <n v="225"/>
  </r>
  <r>
    <x v="9"/>
    <x v="5"/>
    <x v="11"/>
    <d v="2022-06-10T00:00:00"/>
    <n v="2925.47"/>
    <n v="224"/>
  </r>
  <r>
    <x v="0"/>
    <x v="0"/>
    <x v="5"/>
    <d v="2022-01-10T00:00:00"/>
    <n v="19444.09"/>
    <n v="452"/>
  </r>
  <r>
    <x v="1"/>
    <x v="1"/>
    <x v="7"/>
    <d v="2022-03-09T00:00:00"/>
    <n v="8591.2000000000007"/>
    <n v="176"/>
  </r>
  <r>
    <x v="0"/>
    <x v="1"/>
    <x v="1"/>
    <d v="2022-04-30T00:00:00"/>
    <n v="2289.16"/>
    <n v="167"/>
  </r>
  <r>
    <x v="2"/>
    <x v="1"/>
    <x v="11"/>
    <d v="2022-06-01T00:00:00"/>
    <n v="6384.11"/>
    <n v="265"/>
  </r>
  <r>
    <x v="0"/>
    <x v="5"/>
    <x v="11"/>
    <d v="2022-01-10T00:00:00"/>
    <n v="2747.98"/>
    <n v="115"/>
  </r>
  <r>
    <x v="8"/>
    <x v="4"/>
    <x v="0"/>
    <d v="2022-04-27T00:00:00"/>
    <n v="6324.87"/>
    <n v="296"/>
  </r>
  <r>
    <x v="8"/>
    <x v="5"/>
    <x v="13"/>
    <d v="2022-01-19T00:00:00"/>
    <n v="4592.38"/>
    <n v="155"/>
  </r>
  <r>
    <x v="6"/>
    <x v="1"/>
    <x v="5"/>
    <d v="2022-05-29T00:00:00"/>
    <n v="5016.53"/>
    <n v="164"/>
  </r>
  <r>
    <x v="1"/>
    <x v="5"/>
    <x v="13"/>
    <d v="2022-03-19T00:00:00"/>
    <n v="636.78"/>
    <n v="43"/>
  </r>
  <r>
    <x v="8"/>
    <x v="2"/>
    <x v="8"/>
    <d v="2022-03-28T00:00:00"/>
    <n v="2948.69"/>
    <n v="189"/>
  </r>
  <r>
    <x v="1"/>
    <x v="0"/>
    <x v="10"/>
    <d v="2022-04-19T00:00:00"/>
    <n v="19971.419999999998"/>
    <n v="463"/>
  </r>
  <r>
    <x v="7"/>
    <x v="4"/>
    <x v="2"/>
    <d v="2022-06-18T00:00:00"/>
    <n v="8218.19"/>
    <n v="439"/>
  </r>
  <r>
    <x v="1"/>
    <x v="0"/>
    <x v="9"/>
    <d v="2022-07-21T00:00:00"/>
    <n v="4964.03"/>
    <n v="225"/>
  </r>
  <r>
    <x v="1"/>
    <x v="4"/>
    <x v="5"/>
    <d v="2022-02-21T00:00:00"/>
    <n v="7881.92"/>
    <n v="253"/>
  </r>
  <r>
    <x v="4"/>
    <x v="2"/>
    <x v="2"/>
    <d v="2022-08-28T00:00:00"/>
    <n v="15267.53"/>
    <n v="321"/>
  </r>
  <r>
    <x v="4"/>
    <x v="5"/>
    <x v="7"/>
    <d v="2022-04-02T00:00:00"/>
    <n v="16343.94"/>
    <n v="485"/>
  </r>
  <r>
    <x v="3"/>
    <x v="5"/>
    <x v="9"/>
    <d v="2022-01-06T00:00:00"/>
    <n v="10904.55"/>
    <n v="236"/>
  </r>
  <r>
    <x v="1"/>
    <x v="5"/>
    <x v="10"/>
    <d v="2022-07-16T00:00:00"/>
    <n v="3205"/>
    <n v="81"/>
  </r>
  <r>
    <x v="6"/>
    <x v="3"/>
    <x v="10"/>
    <d v="2022-01-18T00:00:00"/>
    <n v="5771.22"/>
    <n v="140"/>
  </r>
  <r>
    <x v="9"/>
    <x v="4"/>
    <x v="12"/>
    <d v="2022-03-24T00:00:00"/>
    <n v="3977.2"/>
    <n v="80"/>
  </r>
  <r>
    <x v="5"/>
    <x v="3"/>
    <x v="2"/>
    <d v="2022-02-21T00:00:00"/>
    <n v="8919.5"/>
    <n v="363"/>
  </r>
  <r>
    <x v="9"/>
    <x v="1"/>
    <x v="8"/>
    <d v="2022-04-06T00:00:00"/>
    <n v="23284.44"/>
    <n v="499"/>
  </r>
  <r>
    <x v="4"/>
    <x v="4"/>
    <x v="6"/>
    <d v="2022-04-27T00:00:00"/>
    <n v="4260.4399999999996"/>
    <n v="103"/>
  </r>
  <r>
    <x v="7"/>
    <x v="2"/>
    <x v="4"/>
    <d v="2022-03-14T00:00:00"/>
    <n v="7570.61"/>
    <n v="159"/>
  </r>
  <r>
    <x v="1"/>
    <x v="4"/>
    <x v="1"/>
    <d v="2022-03-31T00:00:00"/>
    <n v="18742.38"/>
    <n v="469"/>
  </r>
  <r>
    <x v="9"/>
    <x v="1"/>
    <x v="13"/>
    <d v="2022-07-07T00:00:00"/>
    <n v="8787.7999999999993"/>
    <n v="249"/>
  </r>
  <r>
    <x v="0"/>
    <x v="3"/>
    <x v="10"/>
    <d v="2022-07-01T00:00:00"/>
    <n v="16253.66"/>
    <n v="423"/>
  </r>
  <r>
    <x v="0"/>
    <x v="2"/>
    <x v="0"/>
    <d v="2022-05-06T00:00:00"/>
    <n v="10789.63"/>
    <n v="436"/>
  </r>
  <r>
    <x v="6"/>
    <x v="0"/>
    <x v="10"/>
    <d v="2022-03-20T00:00:00"/>
    <n v="841.52"/>
    <n v="27"/>
  </r>
  <r>
    <x v="0"/>
    <x v="1"/>
    <x v="10"/>
    <d v="2022-01-30T00:00:00"/>
    <n v="5926.16"/>
    <n v="152"/>
  </r>
  <r>
    <x v="7"/>
    <x v="4"/>
    <x v="13"/>
    <d v="2022-06-02T00:00:00"/>
    <n v="7066.65"/>
    <n v="221"/>
  </r>
  <r>
    <x v="6"/>
    <x v="3"/>
    <x v="1"/>
    <d v="2022-04-01T00:00:00"/>
    <n v="11533.13"/>
    <n v="427"/>
  </r>
  <r>
    <x v="7"/>
    <x v="4"/>
    <x v="5"/>
    <d v="2022-06-10T00:00:00"/>
    <n v="6390.52"/>
    <n v="146"/>
  </r>
  <r>
    <x v="3"/>
    <x v="5"/>
    <x v="6"/>
    <d v="2022-06-09T00:00:00"/>
    <n v="444.44"/>
    <n v="15"/>
  </r>
  <r>
    <x v="7"/>
    <x v="3"/>
    <x v="14"/>
    <d v="2022-06-15T00:00:00"/>
    <n v="7220.46"/>
    <n v="171"/>
  </r>
  <r>
    <x v="5"/>
    <x v="0"/>
    <x v="14"/>
    <d v="2022-02-24T00:00:00"/>
    <n v="3490.94"/>
    <n v="120"/>
  </r>
  <r>
    <x v="9"/>
    <x v="0"/>
    <x v="5"/>
    <d v="2022-08-12T00:00:00"/>
    <n v="7408.06"/>
    <n v="168"/>
  </r>
  <r>
    <x v="5"/>
    <x v="0"/>
    <x v="4"/>
    <d v="2022-07-31T00:00:00"/>
    <n v="4111.71"/>
    <n v="175"/>
  </r>
  <r>
    <x v="2"/>
    <x v="2"/>
    <x v="5"/>
    <d v="2022-03-28T00:00:00"/>
    <n v="3823.54"/>
    <n v="269"/>
  </r>
  <r>
    <x v="9"/>
    <x v="4"/>
    <x v="3"/>
    <d v="2022-07-06T00:00:00"/>
    <n v="4542.8599999999997"/>
    <n v="186"/>
  </r>
  <r>
    <x v="5"/>
    <x v="1"/>
    <x v="11"/>
    <d v="2022-04-29T00:00:00"/>
    <n v="527.39"/>
    <n v="11"/>
  </r>
  <r>
    <x v="8"/>
    <x v="5"/>
    <x v="13"/>
    <d v="2022-02-22T00:00:00"/>
    <n v="4013.93"/>
    <n v="124"/>
  </r>
  <r>
    <x v="7"/>
    <x v="4"/>
    <x v="9"/>
    <d v="2022-01-12T00:00:00"/>
    <n v="593.94000000000005"/>
    <n v="38"/>
  </r>
  <r>
    <x v="1"/>
    <x v="1"/>
    <x v="14"/>
    <d v="2022-01-08T00:00:00"/>
    <n v="4318.42"/>
    <n v="175"/>
  </r>
  <r>
    <x v="3"/>
    <x v="5"/>
    <x v="2"/>
    <d v="2022-05-15T00:00:00"/>
    <n v="5293.89"/>
    <n v="144"/>
  </r>
  <r>
    <x v="5"/>
    <x v="5"/>
    <x v="10"/>
    <d v="2022-01-24T00:00:00"/>
    <n v="3165.41"/>
    <n v="181"/>
  </r>
  <r>
    <x v="1"/>
    <x v="5"/>
    <x v="0"/>
    <d v="2022-04-24T00:00:00"/>
    <n v="5212.22"/>
    <n v="224"/>
  </r>
  <r>
    <x v="2"/>
    <x v="1"/>
    <x v="5"/>
    <d v="2022-06-12T00:00:00"/>
    <n v="4320.88"/>
    <n v="211"/>
  </r>
  <r>
    <x v="2"/>
    <x v="1"/>
    <x v="13"/>
    <d v="2022-08-27T00:00:00"/>
    <n v="434.03"/>
    <n v="16"/>
  </r>
  <r>
    <x v="7"/>
    <x v="5"/>
    <x v="4"/>
    <d v="2022-02-22T00:00:00"/>
    <n v="15708.48"/>
    <n v="486"/>
  </r>
  <r>
    <x v="5"/>
    <x v="3"/>
    <x v="7"/>
    <d v="2022-05-26T00:00:00"/>
    <n v="411.5"/>
    <n v="16"/>
  </r>
  <r>
    <x v="8"/>
    <x v="4"/>
    <x v="6"/>
    <d v="2022-07-30T00:00:00"/>
    <n v="2124.81"/>
    <n v="101"/>
  </r>
  <r>
    <x v="5"/>
    <x v="4"/>
    <x v="8"/>
    <d v="2022-01-12T00:00:00"/>
    <n v="984.79"/>
    <n v="32"/>
  </r>
  <r>
    <x v="2"/>
    <x v="3"/>
    <x v="11"/>
    <d v="2022-04-26T00:00:00"/>
    <n v="13049.1"/>
    <n v="327"/>
  </r>
  <r>
    <x v="6"/>
    <x v="2"/>
    <x v="1"/>
    <d v="2022-06-29T00:00:00"/>
    <n v="956.42"/>
    <n v="21"/>
  </r>
  <r>
    <x v="2"/>
    <x v="3"/>
    <x v="14"/>
    <d v="2022-04-15T00:00:00"/>
    <n v="5712.21"/>
    <n v="337"/>
  </r>
  <r>
    <x v="4"/>
    <x v="2"/>
    <x v="9"/>
    <d v="2022-04-28T00:00:00"/>
    <n v="6985.76"/>
    <n v="410"/>
  </r>
  <r>
    <x v="1"/>
    <x v="5"/>
    <x v="9"/>
    <d v="2022-08-10T00:00:00"/>
    <n v="10122.81"/>
    <n v="236"/>
  </r>
  <r>
    <x v="6"/>
    <x v="5"/>
    <x v="3"/>
    <d v="2022-01-22T00:00:00"/>
    <n v="4746.8599999999997"/>
    <n v="321"/>
  </r>
  <r>
    <x v="7"/>
    <x v="1"/>
    <x v="11"/>
    <d v="2022-03-19T00:00:00"/>
    <n v="365.6"/>
    <n v="18"/>
  </r>
  <r>
    <x v="3"/>
    <x v="3"/>
    <x v="6"/>
    <d v="2022-08-15T00:00:00"/>
    <n v="9791.02"/>
    <n v="385"/>
  </r>
  <r>
    <x v="0"/>
    <x v="5"/>
    <x v="8"/>
    <d v="2022-01-23T00:00:00"/>
    <n v="6966.13"/>
    <n v="364"/>
  </r>
  <r>
    <x v="5"/>
    <x v="5"/>
    <x v="5"/>
    <d v="2022-01-20T00:00:00"/>
    <n v="14282.35"/>
    <n v="458"/>
  </r>
  <r>
    <x v="4"/>
    <x v="0"/>
    <x v="8"/>
    <d v="2022-08-24T00:00:00"/>
    <n v="2735.77"/>
    <n v="73"/>
  </r>
  <r>
    <x v="1"/>
    <x v="0"/>
    <x v="11"/>
    <d v="2022-02-17T00:00:00"/>
    <n v="5503.98"/>
    <n v="338"/>
  </r>
  <r>
    <x v="2"/>
    <x v="1"/>
    <x v="11"/>
    <d v="2022-05-04T00:00:00"/>
    <n v="10872.5"/>
    <n v="351"/>
  </r>
  <r>
    <x v="2"/>
    <x v="4"/>
    <x v="0"/>
    <d v="2022-01-06T00:00:00"/>
    <n v="4158.5"/>
    <n v="286"/>
  </r>
  <r>
    <x v="1"/>
    <x v="4"/>
    <x v="7"/>
    <d v="2022-04-15T00:00:00"/>
    <n v="23977.48"/>
    <n v="481"/>
  </r>
  <r>
    <x v="8"/>
    <x v="3"/>
    <x v="12"/>
    <d v="2022-08-25T00:00:00"/>
    <n v="5031.0600000000004"/>
    <n v="161"/>
  </r>
  <r>
    <x v="5"/>
    <x v="0"/>
    <x v="8"/>
    <d v="2022-05-31T00:00:00"/>
    <n v="7460.34"/>
    <n v="356"/>
  </r>
  <r>
    <x v="1"/>
    <x v="5"/>
    <x v="9"/>
    <d v="2022-07-08T00:00:00"/>
    <n v="6613.2"/>
    <n v="186"/>
  </r>
  <r>
    <x v="1"/>
    <x v="3"/>
    <x v="3"/>
    <d v="2022-04-30T00:00:00"/>
    <n v="708.87"/>
    <n v="36"/>
  </r>
  <r>
    <x v="4"/>
    <x v="3"/>
    <x v="11"/>
    <d v="2022-06-16T00:00:00"/>
    <n v="10445.39"/>
    <n v="306"/>
  </r>
  <r>
    <x v="3"/>
    <x v="4"/>
    <x v="8"/>
    <d v="2022-04-11T00:00:00"/>
    <n v="5797.63"/>
    <n v="254"/>
  </r>
  <r>
    <x v="3"/>
    <x v="2"/>
    <x v="13"/>
    <d v="2022-03-19T00:00:00"/>
    <n v="10473.969999999999"/>
    <n v="441"/>
  </r>
  <r>
    <x v="4"/>
    <x v="0"/>
    <x v="7"/>
    <d v="2022-07-15T00:00:00"/>
    <n v="1372.66"/>
    <n v="33"/>
  </r>
  <r>
    <x v="4"/>
    <x v="3"/>
    <x v="14"/>
    <d v="2022-03-03T00:00:00"/>
    <n v="11414.54"/>
    <n v="333"/>
  </r>
  <r>
    <x v="5"/>
    <x v="2"/>
    <x v="8"/>
    <d v="2022-05-16T00:00:00"/>
    <n v="631.36"/>
    <n v="41"/>
  </r>
  <r>
    <x v="0"/>
    <x v="4"/>
    <x v="13"/>
    <d v="2022-03-30T00:00:00"/>
    <n v="6093.04"/>
    <n v="357"/>
  </r>
  <r>
    <x v="6"/>
    <x v="4"/>
    <x v="7"/>
    <d v="2022-04-13T00:00:00"/>
    <n v="3335.93"/>
    <n v="270"/>
  </r>
  <r>
    <x v="4"/>
    <x v="5"/>
    <x v="3"/>
    <d v="2022-06-11T00:00:00"/>
    <n v="15130.24"/>
    <n v="384"/>
  </r>
  <r>
    <x v="8"/>
    <x v="4"/>
    <x v="12"/>
    <d v="2022-03-05T00:00:00"/>
    <n v="3321.69"/>
    <n v="145"/>
  </r>
  <r>
    <x v="3"/>
    <x v="3"/>
    <x v="0"/>
    <d v="2022-08-16T00:00:00"/>
    <n v="2336.36"/>
    <n v="119"/>
  </r>
  <r>
    <x v="5"/>
    <x v="5"/>
    <x v="11"/>
    <d v="2022-04-15T00:00:00"/>
    <n v="19443.77"/>
    <n v="420"/>
  </r>
  <r>
    <x v="6"/>
    <x v="0"/>
    <x v="5"/>
    <d v="2022-01-31T00:00:00"/>
    <n v="4534.5"/>
    <n v="161"/>
  </r>
  <r>
    <x v="2"/>
    <x v="1"/>
    <x v="11"/>
    <d v="2022-08-24T00:00:00"/>
    <n v="1027.0999999999999"/>
    <n v="69"/>
  </r>
  <r>
    <x v="1"/>
    <x v="2"/>
    <x v="7"/>
    <d v="2022-03-15T00:00:00"/>
    <n v="2883"/>
    <n v="66"/>
  </r>
  <r>
    <x v="9"/>
    <x v="3"/>
    <x v="12"/>
    <d v="2022-01-08T00:00:00"/>
    <n v="2593.64"/>
    <n v="66"/>
  </r>
  <r>
    <x v="9"/>
    <x v="1"/>
    <x v="11"/>
    <d v="2022-04-03T00:00:00"/>
    <n v="5802.73"/>
    <n v="433"/>
  </r>
  <r>
    <x v="1"/>
    <x v="4"/>
    <x v="11"/>
    <d v="2022-05-18T00:00:00"/>
    <n v="11992.11"/>
    <n v="257"/>
  </r>
  <r>
    <x v="2"/>
    <x v="5"/>
    <x v="7"/>
    <d v="2022-02-07T00:00:00"/>
    <n v="352.92"/>
    <n v="30"/>
  </r>
  <r>
    <x v="7"/>
    <x v="3"/>
    <x v="5"/>
    <d v="2022-05-28T00:00:00"/>
    <n v="7024.11"/>
    <n v="190"/>
  </r>
  <r>
    <x v="3"/>
    <x v="3"/>
    <x v="7"/>
    <d v="2022-05-31T00:00:00"/>
    <n v="2884.52"/>
    <n v="118"/>
  </r>
  <r>
    <x v="2"/>
    <x v="5"/>
    <x v="6"/>
    <d v="2022-06-26T00:00:00"/>
    <n v="5022.76"/>
    <n v="154"/>
  </r>
  <r>
    <x v="2"/>
    <x v="3"/>
    <x v="3"/>
    <d v="2022-08-18T00:00:00"/>
    <n v="5250.58"/>
    <n v="299"/>
  </r>
  <r>
    <x v="1"/>
    <x v="5"/>
    <x v="9"/>
    <d v="2022-05-09T00:00:00"/>
    <n v="2584.15"/>
    <n v="108"/>
  </r>
  <r>
    <x v="9"/>
    <x v="5"/>
    <x v="8"/>
    <d v="2022-07-13T00:00:00"/>
    <n v="8581.27"/>
    <n v="190"/>
  </r>
  <r>
    <x v="3"/>
    <x v="3"/>
    <x v="3"/>
    <d v="2022-06-03T00:00:00"/>
    <n v="559.73"/>
    <n v="12"/>
  </r>
  <r>
    <x v="6"/>
    <x v="2"/>
    <x v="6"/>
    <d v="2022-06-07T00:00:00"/>
    <n v="12905.06"/>
    <n v="498"/>
  </r>
  <r>
    <x v="3"/>
    <x v="5"/>
    <x v="7"/>
    <d v="2022-06-24T00:00:00"/>
    <n v="13509.42"/>
    <n v="296"/>
  </r>
  <r>
    <x v="2"/>
    <x v="2"/>
    <x v="2"/>
    <d v="2022-05-29T00:00:00"/>
    <n v="3116.98"/>
    <n v="148"/>
  </r>
  <r>
    <x v="4"/>
    <x v="5"/>
    <x v="13"/>
    <d v="2022-06-05T00:00:00"/>
    <n v="1123.46"/>
    <n v="56"/>
  </r>
  <r>
    <x v="1"/>
    <x v="5"/>
    <x v="9"/>
    <d v="2022-03-30T00:00:00"/>
    <n v="18188.8"/>
    <n v="495"/>
  </r>
  <r>
    <x v="9"/>
    <x v="5"/>
    <x v="4"/>
    <d v="2022-01-25T00:00:00"/>
    <n v="8484.94"/>
    <n v="317"/>
  </r>
  <r>
    <x v="3"/>
    <x v="3"/>
    <x v="0"/>
    <d v="2022-07-22T00:00:00"/>
    <n v="6693.75"/>
    <n v="476"/>
  </r>
  <r>
    <x v="5"/>
    <x v="3"/>
    <x v="1"/>
    <d v="2022-06-27T00:00:00"/>
    <n v="9682.74"/>
    <n v="394"/>
  </r>
  <r>
    <x v="4"/>
    <x v="4"/>
    <x v="13"/>
    <d v="2022-01-19T00:00:00"/>
    <n v="3241.7"/>
    <n v="232"/>
  </r>
  <r>
    <x v="8"/>
    <x v="2"/>
    <x v="5"/>
    <d v="2022-03-29T00:00:00"/>
    <n v="10885.26"/>
    <n v="233"/>
  </r>
  <r>
    <x v="6"/>
    <x v="5"/>
    <x v="13"/>
    <d v="2022-06-24T00:00:00"/>
    <n v="4934.32"/>
    <n v="194"/>
  </r>
  <r>
    <x v="1"/>
    <x v="3"/>
    <x v="13"/>
    <d v="2022-03-24T00:00:00"/>
    <n v="21726.67"/>
    <n v="436"/>
  </r>
  <r>
    <x v="1"/>
    <x v="3"/>
    <x v="1"/>
    <d v="2022-04-18T00:00:00"/>
    <n v="5873.54"/>
    <n v="355"/>
  </r>
  <r>
    <x v="2"/>
    <x v="0"/>
    <x v="2"/>
    <d v="2022-07-10T00:00:00"/>
    <n v="9561.31"/>
    <n v="268"/>
  </r>
  <r>
    <x v="2"/>
    <x v="4"/>
    <x v="12"/>
    <d v="2022-02-26T00:00:00"/>
    <n v="3463.01"/>
    <n v="74"/>
  </r>
  <r>
    <x v="4"/>
    <x v="5"/>
    <x v="12"/>
    <d v="2022-06-23T00:00:00"/>
    <n v="136.05000000000001"/>
    <n v="11"/>
  </r>
  <r>
    <x v="6"/>
    <x v="4"/>
    <x v="3"/>
    <d v="2022-05-21T00:00:00"/>
    <n v="3525.11"/>
    <n v="215"/>
  </r>
  <r>
    <x v="6"/>
    <x v="4"/>
    <x v="12"/>
    <d v="2022-04-08T00:00:00"/>
    <n v="4819.1499999999996"/>
    <n v="332"/>
  </r>
  <r>
    <x v="8"/>
    <x v="0"/>
    <x v="9"/>
    <d v="2022-08-21T00:00:00"/>
    <n v="5661.96"/>
    <n v="136"/>
  </r>
  <r>
    <x v="4"/>
    <x v="4"/>
    <x v="8"/>
    <d v="2022-01-28T00:00:00"/>
    <n v="980.84"/>
    <n v="39"/>
  </r>
  <r>
    <x v="0"/>
    <x v="4"/>
    <x v="12"/>
    <d v="2022-08-05T00:00:00"/>
    <n v="1430.77"/>
    <n v="38"/>
  </r>
  <r>
    <x v="5"/>
    <x v="2"/>
    <x v="9"/>
    <d v="2022-07-27T00:00:00"/>
    <n v="1178.22"/>
    <n v="40"/>
  </r>
  <r>
    <x v="0"/>
    <x v="3"/>
    <x v="1"/>
    <d v="2022-02-18T00:00:00"/>
    <n v="9645.48"/>
    <n v="286"/>
  </r>
  <r>
    <x v="9"/>
    <x v="3"/>
    <x v="11"/>
    <d v="2022-02-11T00:00:00"/>
    <n v="3703.09"/>
    <n v="141"/>
  </r>
  <r>
    <x v="7"/>
    <x v="3"/>
    <x v="14"/>
    <d v="2022-02-28T00:00:00"/>
    <n v="10465.99"/>
    <n v="393"/>
  </r>
  <r>
    <x v="3"/>
    <x v="2"/>
    <x v="8"/>
    <d v="2022-03-27T00:00:00"/>
    <n v="11297.48"/>
    <n v="314"/>
  </r>
  <r>
    <x v="2"/>
    <x v="5"/>
    <x v="13"/>
    <d v="2022-07-26T00:00:00"/>
    <n v="9203.3799999999992"/>
    <n v="400"/>
  </r>
  <r>
    <x v="0"/>
    <x v="2"/>
    <x v="6"/>
    <d v="2022-07-07T00:00:00"/>
    <n v="10092.43"/>
    <n v="239"/>
  </r>
  <r>
    <x v="1"/>
    <x v="3"/>
    <x v="7"/>
    <d v="2022-07-11T00:00:00"/>
    <n v="2394.9"/>
    <n v="84"/>
  </r>
  <r>
    <x v="1"/>
    <x v="4"/>
    <x v="8"/>
    <d v="2022-01-31T00:00:00"/>
    <n v="4157.41"/>
    <n v="264"/>
  </r>
  <r>
    <x v="9"/>
    <x v="4"/>
    <x v="5"/>
    <d v="2022-06-28T00:00:00"/>
    <n v="3986.46"/>
    <n v="140"/>
  </r>
  <r>
    <x v="3"/>
    <x v="3"/>
    <x v="3"/>
    <d v="2022-06-03T00:00:00"/>
    <n v="16045.86"/>
    <n v="477"/>
  </r>
  <r>
    <x v="1"/>
    <x v="3"/>
    <x v="0"/>
    <d v="2022-01-27T00:00:00"/>
    <n v="5616.37"/>
    <n v="246"/>
  </r>
  <r>
    <x v="4"/>
    <x v="2"/>
    <x v="10"/>
    <d v="2022-08-11T00:00:00"/>
    <n v="1741.42"/>
    <n v="42"/>
  </r>
  <r>
    <x v="9"/>
    <x v="4"/>
    <x v="9"/>
    <d v="2022-07-27T00:00:00"/>
    <n v="4344.3500000000004"/>
    <n v="109"/>
  </r>
  <r>
    <x v="8"/>
    <x v="5"/>
    <x v="1"/>
    <d v="2022-03-09T00:00:00"/>
    <n v="8483.48"/>
    <n v="342"/>
  </r>
  <r>
    <x v="6"/>
    <x v="3"/>
    <x v="2"/>
    <d v="2022-05-06T00:00:00"/>
    <n v="723.29"/>
    <n v="27"/>
  </r>
  <r>
    <x v="0"/>
    <x v="1"/>
    <x v="2"/>
    <d v="2022-01-20T00:00:00"/>
    <n v="4476"/>
    <n v="343"/>
  </r>
  <r>
    <x v="3"/>
    <x v="3"/>
    <x v="14"/>
    <d v="2022-05-09T00:00:00"/>
    <n v="13449.54"/>
    <n v="299"/>
  </r>
  <r>
    <x v="2"/>
    <x v="3"/>
    <x v="9"/>
    <d v="2022-07-27T00:00:00"/>
    <n v="13220.1"/>
    <n v="305"/>
  </r>
  <r>
    <x v="6"/>
    <x v="4"/>
    <x v="14"/>
    <d v="2022-06-03T00:00:00"/>
    <n v="16987.7"/>
    <n v="411"/>
  </r>
  <r>
    <x v="2"/>
    <x v="4"/>
    <x v="3"/>
    <d v="2022-07-10T00:00:00"/>
    <n v="9085.51"/>
    <n v="237"/>
  </r>
  <r>
    <x v="6"/>
    <x v="5"/>
    <x v="13"/>
    <d v="2022-06-27T00:00:00"/>
    <n v="11544.08"/>
    <n v="423"/>
  </r>
  <r>
    <x v="6"/>
    <x v="5"/>
    <x v="8"/>
    <d v="2022-04-23T00:00:00"/>
    <n v="12587.78"/>
    <n v="297"/>
  </r>
  <r>
    <x v="8"/>
    <x v="0"/>
    <x v="2"/>
    <d v="2022-04-17T00:00:00"/>
    <n v="12202.64"/>
    <n v="321"/>
  </r>
  <r>
    <x v="7"/>
    <x v="1"/>
    <x v="14"/>
    <d v="2022-01-23T00:00:00"/>
    <n v="6319.71"/>
    <n v="366"/>
  </r>
  <r>
    <x v="6"/>
    <x v="3"/>
    <x v="10"/>
    <d v="2022-02-18T00:00:00"/>
    <n v="16902.63"/>
    <n v="472"/>
  </r>
  <r>
    <x v="8"/>
    <x v="2"/>
    <x v="5"/>
    <d v="2022-08-03T00:00:00"/>
    <n v="5408.77"/>
    <n v="412"/>
  </r>
  <r>
    <x v="2"/>
    <x v="3"/>
    <x v="6"/>
    <d v="2022-05-02T00:00:00"/>
    <n v="11725.2"/>
    <n v="314"/>
  </r>
  <r>
    <x v="8"/>
    <x v="0"/>
    <x v="5"/>
    <d v="2022-04-22T00:00:00"/>
    <n v="9669.7099999999991"/>
    <n v="376"/>
  </r>
  <r>
    <x v="2"/>
    <x v="3"/>
    <x v="8"/>
    <d v="2022-01-03T00:00:00"/>
    <n v="2875.15"/>
    <n v="201"/>
  </r>
  <r>
    <x v="3"/>
    <x v="2"/>
    <x v="13"/>
    <d v="2022-03-11T00:00:00"/>
    <n v="14214.55"/>
    <n v="447"/>
  </r>
  <r>
    <x v="9"/>
    <x v="2"/>
    <x v="1"/>
    <d v="2022-03-05T00:00:00"/>
    <n v="1195.52"/>
    <n v="29"/>
  </r>
  <r>
    <x v="6"/>
    <x v="4"/>
    <x v="10"/>
    <d v="2022-05-04T00:00:00"/>
    <n v="16375.54"/>
    <n v="491"/>
  </r>
  <r>
    <x v="1"/>
    <x v="3"/>
    <x v="0"/>
    <d v="2022-03-24T00:00:00"/>
    <n v="8190.32"/>
    <n v="240"/>
  </r>
  <r>
    <x v="1"/>
    <x v="3"/>
    <x v="10"/>
    <d v="2022-05-24T00:00:00"/>
    <n v="19125.150000000001"/>
    <n v="488"/>
  </r>
  <r>
    <x v="0"/>
    <x v="4"/>
    <x v="7"/>
    <d v="2022-04-15T00:00:00"/>
    <n v="585.65"/>
    <n v="20"/>
  </r>
  <r>
    <x v="0"/>
    <x v="1"/>
    <x v="0"/>
    <d v="2022-03-26T00:00:00"/>
    <n v="20317.259999999998"/>
    <n v="485"/>
  </r>
  <r>
    <x v="9"/>
    <x v="3"/>
    <x v="4"/>
    <d v="2022-08-07T00:00:00"/>
    <n v="9887.34"/>
    <n v="320"/>
  </r>
  <r>
    <x v="3"/>
    <x v="0"/>
    <x v="13"/>
    <d v="2022-07-31T00:00:00"/>
    <n v="8194.42"/>
    <n v="276"/>
  </r>
  <r>
    <x v="4"/>
    <x v="4"/>
    <x v="10"/>
    <d v="2022-03-26T00:00:00"/>
    <n v="7471.71"/>
    <n v="491"/>
  </r>
  <r>
    <x v="3"/>
    <x v="1"/>
    <x v="14"/>
    <d v="2022-06-02T00:00:00"/>
    <n v="7060.26"/>
    <n v="142"/>
  </r>
  <r>
    <x v="6"/>
    <x v="1"/>
    <x v="2"/>
    <d v="2022-06-02T00:00:00"/>
    <n v="13053.64"/>
    <n v="282"/>
  </r>
  <r>
    <x v="9"/>
    <x v="5"/>
    <x v="13"/>
    <d v="2022-04-29T00:00:00"/>
    <n v="8399.02"/>
    <n v="181"/>
  </r>
  <r>
    <x v="6"/>
    <x v="1"/>
    <x v="11"/>
    <d v="2022-03-11T00:00:00"/>
    <n v="7990.6"/>
    <n v="199"/>
  </r>
  <r>
    <x v="6"/>
    <x v="4"/>
    <x v="0"/>
    <d v="2022-07-25T00:00:00"/>
    <n v="11098.01"/>
    <n v="225"/>
  </r>
  <r>
    <x v="0"/>
    <x v="4"/>
    <x v="1"/>
    <d v="2022-05-03T00:00:00"/>
    <n v="19951.07"/>
    <n v="426"/>
  </r>
  <r>
    <x v="0"/>
    <x v="4"/>
    <x v="11"/>
    <d v="2022-01-08T00:00:00"/>
    <n v="119.82"/>
    <n v="10"/>
  </r>
  <r>
    <x v="3"/>
    <x v="5"/>
    <x v="13"/>
    <d v="2022-01-02T00:00:00"/>
    <n v="12551.57"/>
    <n v="377"/>
  </r>
  <r>
    <x v="5"/>
    <x v="5"/>
    <x v="4"/>
    <d v="2022-07-29T00:00:00"/>
    <n v="7718.1"/>
    <n v="265"/>
  </r>
  <r>
    <x v="2"/>
    <x v="3"/>
    <x v="1"/>
    <d v="2022-07-29T00:00:00"/>
    <n v="6264.79"/>
    <n v="163"/>
  </r>
  <r>
    <x v="1"/>
    <x v="4"/>
    <x v="9"/>
    <d v="2022-01-06T00:00:00"/>
    <n v="1617.05"/>
    <n v="69"/>
  </r>
  <r>
    <x v="4"/>
    <x v="2"/>
    <x v="12"/>
    <d v="2022-03-26T00:00:00"/>
    <n v="2630.52"/>
    <n v="64"/>
  </r>
  <r>
    <x v="6"/>
    <x v="5"/>
    <x v="14"/>
    <d v="2022-08-28T00:00:00"/>
    <n v="5024.53"/>
    <n v="251"/>
  </r>
  <r>
    <x v="0"/>
    <x v="0"/>
    <x v="7"/>
    <d v="2022-01-27T00:00:00"/>
    <n v="19586.580000000002"/>
    <n v="451"/>
  </r>
  <r>
    <x v="0"/>
    <x v="0"/>
    <x v="10"/>
    <d v="2022-07-11T00:00:00"/>
    <n v="1905.06"/>
    <n v="40"/>
  </r>
  <r>
    <x v="9"/>
    <x v="2"/>
    <x v="13"/>
    <d v="2022-04-12T00:00:00"/>
    <n v="5032.22"/>
    <n v="474"/>
  </r>
  <r>
    <x v="4"/>
    <x v="1"/>
    <x v="5"/>
    <d v="2022-04-19T00:00:00"/>
    <n v="7678.26"/>
    <n v="236"/>
  </r>
  <r>
    <x v="6"/>
    <x v="1"/>
    <x v="8"/>
    <d v="2022-02-10T00:00:00"/>
    <n v="20181"/>
    <n v="409"/>
  </r>
  <r>
    <x v="6"/>
    <x v="0"/>
    <x v="13"/>
    <d v="2022-01-04T00:00:00"/>
    <n v="8709.2199999999993"/>
    <n v="178"/>
  </r>
  <r>
    <x v="8"/>
    <x v="1"/>
    <x v="6"/>
    <d v="2022-08-01T00:00:00"/>
    <n v="18763.82"/>
    <n v="444"/>
  </r>
  <r>
    <x v="0"/>
    <x v="4"/>
    <x v="7"/>
    <d v="2022-03-20T00:00:00"/>
    <n v="11343.37"/>
    <n v="269"/>
  </r>
  <r>
    <x v="8"/>
    <x v="1"/>
    <x v="8"/>
    <d v="2022-06-13T00:00:00"/>
    <n v="4905.1000000000004"/>
    <n v="248"/>
  </r>
  <r>
    <x v="7"/>
    <x v="5"/>
    <x v="12"/>
    <d v="2022-03-17T00:00:00"/>
    <n v="10071.75"/>
    <n v="204"/>
  </r>
  <r>
    <x v="3"/>
    <x v="0"/>
    <x v="7"/>
    <d v="2022-07-31T00:00:00"/>
    <n v="5025.6899999999996"/>
    <n v="133"/>
  </r>
  <r>
    <x v="6"/>
    <x v="3"/>
    <x v="12"/>
    <d v="2022-08-30T00:00:00"/>
    <n v="1274.8599999999999"/>
    <n v="81"/>
  </r>
  <r>
    <x v="5"/>
    <x v="5"/>
    <x v="6"/>
    <d v="2022-04-05T00:00:00"/>
    <n v="2848.07"/>
    <n v="193"/>
  </r>
  <r>
    <x v="4"/>
    <x v="4"/>
    <x v="4"/>
    <d v="2022-06-19T00:00:00"/>
    <n v="5431.35"/>
    <n v="152"/>
  </r>
  <r>
    <x v="6"/>
    <x v="1"/>
    <x v="4"/>
    <d v="2022-06-21T00:00:00"/>
    <n v="23090.87"/>
    <n v="482"/>
  </r>
  <r>
    <x v="2"/>
    <x v="4"/>
    <x v="13"/>
    <d v="2022-06-11T00:00:00"/>
    <n v="13289.99"/>
    <n v="273"/>
  </r>
  <r>
    <x v="4"/>
    <x v="0"/>
    <x v="14"/>
    <d v="2022-04-02T00:00:00"/>
    <n v="14114.16"/>
    <n v="422"/>
  </r>
  <r>
    <x v="8"/>
    <x v="4"/>
    <x v="12"/>
    <d v="2022-03-14T00:00:00"/>
    <n v="3064.72"/>
    <n v="251"/>
  </r>
  <r>
    <x v="5"/>
    <x v="1"/>
    <x v="3"/>
    <d v="2022-07-03T00:00:00"/>
    <n v="13987.08"/>
    <n v="372"/>
  </r>
  <r>
    <x v="6"/>
    <x v="1"/>
    <x v="9"/>
    <d v="2022-07-18T00:00:00"/>
    <n v="17890.38"/>
    <n v="457"/>
  </r>
  <r>
    <x v="2"/>
    <x v="1"/>
    <x v="5"/>
    <d v="2022-08-01T00:00:00"/>
    <n v="11345.7"/>
    <n v="487"/>
  </r>
  <r>
    <x v="8"/>
    <x v="5"/>
    <x v="10"/>
    <d v="2022-05-05T00:00:00"/>
    <n v="3795.64"/>
    <n v="206"/>
  </r>
  <r>
    <x v="0"/>
    <x v="5"/>
    <x v="14"/>
    <d v="2022-07-26T00:00:00"/>
    <n v="1004.71"/>
    <n v="21"/>
  </r>
  <r>
    <x v="8"/>
    <x v="4"/>
    <x v="8"/>
    <d v="2022-05-30T00:00:00"/>
    <n v="5575.62"/>
    <n v="371"/>
  </r>
  <r>
    <x v="2"/>
    <x v="3"/>
    <x v="11"/>
    <d v="2022-05-07T00:00:00"/>
    <n v="12563.44"/>
    <n v="420"/>
  </r>
  <r>
    <x v="2"/>
    <x v="5"/>
    <x v="3"/>
    <d v="2022-06-21T00:00:00"/>
    <n v="4983.24"/>
    <n v="143"/>
  </r>
  <r>
    <x v="3"/>
    <x v="3"/>
    <x v="2"/>
    <d v="2022-08-16T00:00:00"/>
    <n v="782.09"/>
    <n v="19"/>
  </r>
  <r>
    <x v="8"/>
    <x v="1"/>
    <x v="8"/>
    <d v="2022-08-17T00:00:00"/>
    <n v="17614.900000000001"/>
    <n v="3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BF23B-DFE2-4A04-B317-1E211F3F2379}" name="PivotTable1" cacheId="7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5">
  <location ref="A3:B19" firstHeaderRow="1" firstDataRow="1" firstDataCol="1"/>
  <pivotFields count="6">
    <pivotField compact="0" outline="0" showAll="0"/>
    <pivotField compact="0" outline="0" showAll="0"/>
    <pivotField axis="axisRow" compact="0" outline="0" showAll="0" sortType="ascending">
      <items count="16">
        <item x="0"/>
        <item x="13"/>
        <item x="1"/>
        <item x="12"/>
        <item x="6"/>
        <item x="7"/>
        <item x="11"/>
        <item x="3"/>
        <item x="9"/>
        <item x="4"/>
        <item x="2"/>
        <item x="14"/>
        <item x="5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dataField="1" compact="0" outline="0" showAll="0"/>
    <pivotField compact="0" outline="0" showAll="0"/>
  </pivotFields>
  <rowFields count="1">
    <field x="2"/>
  </rowFields>
  <rowItems count="16">
    <i>
      <x v="3"/>
    </i>
    <i>
      <x v="10"/>
    </i>
    <i>
      <x v="8"/>
    </i>
    <i>
      <x v="9"/>
    </i>
    <i>
      <x v="7"/>
    </i>
    <i>
      <x v="13"/>
    </i>
    <i>
      <x v="4"/>
    </i>
    <i>
      <x/>
    </i>
    <i>
      <x v="14"/>
    </i>
    <i>
      <x v="11"/>
    </i>
    <i>
      <x v="2"/>
    </i>
    <i>
      <x v="1"/>
    </i>
    <i>
      <x v="5"/>
    </i>
    <i>
      <x v="6"/>
    </i>
    <i>
      <x v="12"/>
    </i>
    <i t="grand">
      <x/>
    </i>
  </rowItems>
  <colItems count="1">
    <i/>
  </colItems>
  <dataFields count="1">
    <dataField name="Sum of Amount ($)" fld="4" baseField="0" baseItem="0" numFmtId="165"/>
  </dataFields>
  <formats count="1">
    <format dxfId="7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2B482-0AAE-427A-98E8-3E06DF6CB5FA}" name="PivotTable4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26:E42" firstHeaderRow="1" firstDataRow="1" firstDataCol="1"/>
  <pivotFields count="6">
    <pivotField compact="0" outline="0" showAll="0"/>
    <pivotField compact="0" outline="0" showAll="0"/>
    <pivotField axis="axisRow" compact="0" outline="0" showAll="0" sortType="ascending">
      <items count="16">
        <item x="0"/>
        <item x="13"/>
        <item x="1"/>
        <item x="12"/>
        <item x="6"/>
        <item x="7"/>
        <item x="11"/>
        <item x="3"/>
        <item x="9"/>
        <item x="4"/>
        <item x="2"/>
        <item x="14"/>
        <item x="5"/>
        <item x="1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4" outline="0" showAll="0"/>
    <pivotField compact="0" outline="0" showAll="0"/>
    <pivotField dataField="1" compact="0" outline="0" showAll="0"/>
  </pivotFields>
  <rowFields count="1">
    <field x="2"/>
  </rowFields>
  <rowItems count="16">
    <i>
      <x v="3"/>
    </i>
    <i>
      <x v="10"/>
    </i>
    <i>
      <x v="8"/>
    </i>
    <i>
      <x v="9"/>
    </i>
    <i>
      <x v="4"/>
    </i>
    <i>
      <x v="13"/>
    </i>
    <i>
      <x v="7"/>
    </i>
    <i>
      <x/>
    </i>
    <i>
      <x v="5"/>
    </i>
    <i>
      <x v="11"/>
    </i>
    <i>
      <x v="2"/>
    </i>
    <i>
      <x v="14"/>
    </i>
    <i>
      <x v="1"/>
    </i>
    <i>
      <x v="6"/>
    </i>
    <i>
      <x v="12"/>
    </i>
    <i t="grand">
      <x/>
    </i>
  </rowItems>
  <colItems count="1">
    <i/>
  </colItems>
  <dataFields count="1">
    <dataField name="Sum of Boxes Shipped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D2870-9707-41A1-9A24-72CC80AEDC3E}" name="PivotTable3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6:B37" firstHeaderRow="1" firstDataRow="1" firstDataCol="1"/>
  <pivotFields count="6">
    <pivotField axis="axisRow" compact="0" outline="0" showAll="0" sortType="ascending">
      <items count="11">
        <item x="2"/>
        <item x="7"/>
        <item x="1"/>
        <item x="4"/>
        <item x="8"/>
        <item x="0"/>
        <item x="9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outline="0" showAll="0"/>
  </pivotFields>
  <rowFields count="1">
    <field x="0"/>
  </rowFields>
  <rowItems count="11">
    <i>
      <x v="6"/>
    </i>
    <i>
      <x v="1"/>
    </i>
    <i>
      <x v="4"/>
    </i>
    <i>
      <x v="7"/>
    </i>
    <i>
      <x/>
    </i>
    <i>
      <x v="5"/>
    </i>
    <i>
      <x v="2"/>
    </i>
    <i>
      <x v="3"/>
    </i>
    <i>
      <x v="9"/>
    </i>
    <i>
      <x v="8"/>
    </i>
    <i t="grand">
      <x/>
    </i>
  </rowItems>
  <colItems count="1">
    <i/>
  </colItems>
  <dataFields count="1">
    <dataField name="Sum of Amount ($)" fld="4" baseField="0" baseItem="0" numFmtId="165"/>
  </dataFields>
  <formats count="1">
    <format dxfId="6">
      <pivotArea outline="0" collapsedLevelsAreSubtotals="1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98C24-0415-4B9B-A816-0CCBB8C56B61}" name="PivotTable2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D3:E10" firstHeaderRow="1" firstDataRow="1" firstDataCol="1"/>
  <pivotFields count="6">
    <pivotField compact="0" outline="0" showAll="0"/>
    <pivotField axis="axisRow" compact="0" outline="0" showAll="0" sortType="ascending">
      <items count="7">
        <item x="4"/>
        <item x="0"/>
        <item x="2"/>
        <item x="3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dataField="1" compact="0" outline="0" showAll="0"/>
    <pivotField compact="0" outline="0" showAll="0"/>
  </pivotFields>
  <rowFields count="1">
    <field x="1"/>
  </rowFields>
  <rowItems count="7">
    <i>
      <x v="2"/>
    </i>
    <i>
      <x v="1"/>
    </i>
    <i>
      <x v="4"/>
    </i>
    <i>
      <x/>
    </i>
    <i>
      <x v="3"/>
    </i>
    <i>
      <x v="5"/>
    </i>
    <i t="grand">
      <x/>
    </i>
  </rowItems>
  <colItems count="1">
    <i/>
  </colItems>
  <dataFields count="1">
    <dataField name="Sum of Amount ($)" fld="4" baseField="0" baseItem="0" numFmtId="165"/>
  </dataFields>
  <formats count="1">
    <format dxfId="5">
      <pivotArea outline="0" collapsedLevelsAreSubtotals="1" fieldPosition="0"/>
    </format>
  </format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729E48-9265-4861-AF75-6CF9E252C859}" autoFormatId="16" applyNumberFormats="0" applyBorderFormats="0" applyFontFormats="0" applyPatternFormats="0" applyAlignmentFormats="0" applyWidthHeightFormats="0">
  <queryTableRefresh nextId="7">
    <queryTableFields count="6">
      <queryTableField id="1" name="Sales Person" tableColumnId="1"/>
      <queryTableField id="2" name="Country" tableColumnId="2"/>
      <queryTableField id="3" name="Product" tableColumnId="3"/>
      <queryTableField id="4" name="Date" tableColumnId="4"/>
      <queryTableField id="5" name="Amount ($)" tableColumnId="5"/>
      <queryTableField id="6" name="Boxes Shipp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7FD83-A494-445C-A26E-A78D22DDB98D}" name="cosmetics_sales_data" displayName="cosmetics_sales_data" ref="A1:F375" tableType="queryTable" totalsRowShown="0">
  <autoFilter ref="A1:F375" xr:uid="{25A7FD83-A494-445C-A26E-A78D22DDB98D}"/>
  <tableColumns count="6">
    <tableColumn id="1" xr3:uid="{536DA433-EA31-4B40-9123-1DCF696474FF}" uniqueName="1" name="Sales Person" queryTableFieldId="1" dataDxfId="4"/>
    <tableColumn id="2" xr3:uid="{3D85B3FE-CDB6-46F0-84FE-ECA23894661D}" uniqueName="2" name="Country" queryTableFieldId="2" dataDxfId="3"/>
    <tableColumn id="3" xr3:uid="{EF7BC139-83BA-4B71-8604-6D2E6D88E54A}" uniqueName="3" name="Product" queryTableFieldId="3" dataDxfId="2"/>
    <tableColumn id="4" xr3:uid="{4FCC16D9-0654-4D14-B862-E6E851C64F8F}" uniqueName="4" name="Date" queryTableFieldId="4" dataDxfId="1"/>
    <tableColumn id="5" xr3:uid="{0AF09055-19CA-487B-AECE-A746E0BC6F20}" uniqueName="5" name="Amount ($)" queryTableFieldId="5" dataDxfId="0"/>
    <tableColumn id="6" xr3:uid="{5F542C86-CEF8-4C70-90C3-F33FABAA4673}" uniqueName="6" name="Boxes Shipped" queryTableFieldId="6"/>
  </tableColumns>
  <tableStyleInfo name="TableStyleMedium7" showFirstColumn="0" showLastColumn="0" showRowStripes="1" showColumnStripes="0"/>
  <extLst>
    <ext xmlns:x14="http://schemas.microsoft.com/office/spreadsheetml/2009/9/main" uri="{504A1905-F514-4f6f-8877-14C23A59335A}">
      <x14:table altText="SalesData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76C3-E8B3-4F5B-A056-131F4138C3E3}">
  <dimension ref="A1:F375"/>
  <sheetViews>
    <sheetView topLeftCell="A106" workbookViewId="0">
      <selection activeCell="H5" sqref="H5"/>
    </sheetView>
  </sheetViews>
  <sheetFormatPr defaultRowHeight="15"/>
  <cols>
    <col min="1" max="1" width="14.5703125" bestFit="1" customWidth="1"/>
    <col min="2" max="2" width="12.42578125" bestFit="1" customWidth="1"/>
    <col min="3" max="3" width="20.5703125" bestFit="1" customWidth="1"/>
    <col min="4" max="4" width="10.42578125" bestFit="1" customWidth="1"/>
    <col min="5" max="5" width="13.5703125" style="6" bestFit="1" customWidth="1"/>
    <col min="6" max="6" width="16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44681</v>
      </c>
      <c r="E2" s="6">
        <v>7897.13</v>
      </c>
      <c r="F2">
        <v>358</v>
      </c>
    </row>
    <row r="3" spans="1:6">
      <c r="A3" t="s">
        <v>9</v>
      </c>
      <c r="B3" t="s">
        <v>10</v>
      </c>
      <c r="C3" t="s">
        <v>8</v>
      </c>
      <c r="D3" s="1">
        <v>44586</v>
      </c>
      <c r="E3" s="6">
        <v>16376.88</v>
      </c>
      <c r="F3">
        <v>449</v>
      </c>
    </row>
    <row r="4" spans="1:6">
      <c r="A4" t="s">
        <v>11</v>
      </c>
      <c r="B4" t="s">
        <v>12</v>
      </c>
      <c r="C4" t="s">
        <v>13</v>
      </c>
      <c r="D4" s="1">
        <v>44795</v>
      </c>
      <c r="E4" s="6">
        <v>5599.68</v>
      </c>
      <c r="F4">
        <v>264</v>
      </c>
    </row>
    <row r="5" spans="1:6">
      <c r="A5" t="s">
        <v>11</v>
      </c>
      <c r="B5" t="s">
        <v>14</v>
      </c>
      <c r="C5" t="s">
        <v>15</v>
      </c>
      <c r="D5" s="1">
        <v>44799</v>
      </c>
      <c r="E5" s="6">
        <v>2966.47</v>
      </c>
      <c r="F5">
        <v>144</v>
      </c>
    </row>
    <row r="6" spans="1:6">
      <c r="A6" t="s">
        <v>16</v>
      </c>
      <c r="B6" t="s">
        <v>10</v>
      </c>
      <c r="C6" t="s">
        <v>13</v>
      </c>
      <c r="D6" s="1">
        <v>44700</v>
      </c>
      <c r="E6" s="6">
        <v>6828.68</v>
      </c>
      <c r="F6">
        <v>484</v>
      </c>
    </row>
    <row r="7" spans="1:6">
      <c r="A7" t="s">
        <v>11</v>
      </c>
      <c r="B7" t="s">
        <v>10</v>
      </c>
      <c r="C7" t="s">
        <v>17</v>
      </c>
      <c r="D7" s="1">
        <v>44800</v>
      </c>
      <c r="E7" s="6">
        <v>2555.9499999999998</v>
      </c>
      <c r="F7">
        <v>192</v>
      </c>
    </row>
    <row r="8" spans="1:6">
      <c r="A8" t="s">
        <v>11</v>
      </c>
      <c r="B8" t="s">
        <v>14</v>
      </c>
      <c r="C8" t="s">
        <v>18</v>
      </c>
      <c r="D8" s="1">
        <v>44680</v>
      </c>
      <c r="E8" s="6">
        <v>832.92</v>
      </c>
      <c r="F8">
        <v>19</v>
      </c>
    </row>
    <row r="9" spans="1:6">
      <c r="A9" t="s">
        <v>16</v>
      </c>
      <c r="B9" t="s">
        <v>14</v>
      </c>
      <c r="C9" t="s">
        <v>19</v>
      </c>
      <c r="D9" s="1">
        <v>44757</v>
      </c>
      <c r="E9" s="6">
        <v>997.96</v>
      </c>
      <c r="F9">
        <v>36</v>
      </c>
    </row>
    <row r="10" spans="1:6">
      <c r="A10" t="s">
        <v>20</v>
      </c>
      <c r="B10" t="s">
        <v>14</v>
      </c>
      <c r="C10" t="s">
        <v>17</v>
      </c>
      <c r="D10" s="1">
        <v>44596</v>
      </c>
      <c r="E10" s="6">
        <v>7754.36</v>
      </c>
      <c r="F10">
        <v>466</v>
      </c>
    </row>
    <row r="11" spans="1:6">
      <c r="A11" t="s">
        <v>21</v>
      </c>
      <c r="B11" t="s">
        <v>12</v>
      </c>
      <c r="C11" t="s">
        <v>8</v>
      </c>
      <c r="D11" s="1">
        <v>44697</v>
      </c>
      <c r="E11" s="6">
        <v>5507.19</v>
      </c>
      <c r="F11">
        <v>176</v>
      </c>
    </row>
    <row r="12" spans="1:6">
      <c r="A12" t="s">
        <v>22</v>
      </c>
      <c r="B12" t="s">
        <v>23</v>
      </c>
      <c r="C12" t="s">
        <v>13</v>
      </c>
      <c r="D12" s="1">
        <v>44588</v>
      </c>
      <c r="E12" s="6">
        <v>1119.6600000000001</v>
      </c>
      <c r="F12">
        <v>87</v>
      </c>
    </row>
    <row r="13" spans="1:6">
      <c r="A13" t="s">
        <v>16</v>
      </c>
      <c r="B13" t="s">
        <v>24</v>
      </c>
      <c r="C13" t="s">
        <v>25</v>
      </c>
      <c r="D13" s="1">
        <v>44714</v>
      </c>
      <c r="E13" s="6">
        <v>6853.59</v>
      </c>
      <c r="F13">
        <v>384</v>
      </c>
    </row>
    <row r="14" spans="1:6">
      <c r="A14" t="s">
        <v>26</v>
      </c>
      <c r="B14" t="s">
        <v>24</v>
      </c>
      <c r="C14" t="s">
        <v>27</v>
      </c>
      <c r="D14" s="1">
        <v>44657</v>
      </c>
      <c r="E14" s="6">
        <v>12147.98</v>
      </c>
      <c r="F14">
        <v>254</v>
      </c>
    </row>
    <row r="15" spans="1:6">
      <c r="A15" t="s">
        <v>6</v>
      </c>
      <c r="B15" t="s">
        <v>14</v>
      </c>
      <c r="C15" t="s">
        <v>8</v>
      </c>
      <c r="D15" s="1">
        <v>44768</v>
      </c>
      <c r="E15" s="6">
        <v>923.46</v>
      </c>
      <c r="F15">
        <v>79</v>
      </c>
    </row>
    <row r="16" spans="1:6">
      <c r="A16" t="s">
        <v>26</v>
      </c>
      <c r="B16" t="s">
        <v>7</v>
      </c>
      <c r="C16" t="s">
        <v>15</v>
      </c>
      <c r="D16" s="1">
        <v>44571</v>
      </c>
      <c r="E16" s="6">
        <v>442.07</v>
      </c>
      <c r="F16">
        <v>24</v>
      </c>
    </row>
    <row r="17" spans="1:6">
      <c r="A17" t="s">
        <v>28</v>
      </c>
      <c r="B17" t="s">
        <v>7</v>
      </c>
      <c r="C17" t="s">
        <v>8</v>
      </c>
      <c r="D17" s="1">
        <v>44565</v>
      </c>
      <c r="E17" s="6">
        <v>3900.37</v>
      </c>
      <c r="F17">
        <v>83</v>
      </c>
    </row>
    <row r="18" spans="1:6">
      <c r="A18" t="s">
        <v>26</v>
      </c>
      <c r="B18" t="s">
        <v>14</v>
      </c>
      <c r="C18" t="s">
        <v>13</v>
      </c>
      <c r="D18" s="1">
        <v>44714</v>
      </c>
      <c r="E18" s="6">
        <v>801.63</v>
      </c>
      <c r="F18">
        <v>25</v>
      </c>
    </row>
    <row r="19" spans="1:6">
      <c r="A19" t="s">
        <v>20</v>
      </c>
      <c r="B19" t="s">
        <v>12</v>
      </c>
      <c r="C19" t="s">
        <v>8</v>
      </c>
      <c r="D19" s="1">
        <v>44623</v>
      </c>
      <c r="E19" s="6">
        <v>10101.780000000001</v>
      </c>
      <c r="F19">
        <v>251</v>
      </c>
    </row>
    <row r="20" spans="1:6">
      <c r="A20" t="s">
        <v>16</v>
      </c>
      <c r="B20" t="s">
        <v>7</v>
      </c>
      <c r="C20" t="s">
        <v>29</v>
      </c>
      <c r="D20" s="1">
        <v>44710</v>
      </c>
      <c r="E20" s="6">
        <v>6600.15</v>
      </c>
      <c r="F20">
        <v>417</v>
      </c>
    </row>
    <row r="21" spans="1:6">
      <c r="A21" t="s">
        <v>6</v>
      </c>
      <c r="B21" t="s">
        <v>24</v>
      </c>
      <c r="C21" t="s">
        <v>30</v>
      </c>
      <c r="D21" s="1">
        <v>44709</v>
      </c>
      <c r="E21" s="6">
        <v>5302.98</v>
      </c>
      <c r="F21">
        <v>258</v>
      </c>
    </row>
    <row r="22" spans="1:6">
      <c r="A22" t="s">
        <v>21</v>
      </c>
      <c r="B22" t="s">
        <v>10</v>
      </c>
      <c r="C22" t="s">
        <v>31</v>
      </c>
      <c r="D22" s="1">
        <v>44775</v>
      </c>
      <c r="E22" s="6">
        <v>6310.09</v>
      </c>
      <c r="F22">
        <v>257</v>
      </c>
    </row>
    <row r="23" spans="1:6">
      <c r="A23" t="s">
        <v>21</v>
      </c>
      <c r="B23" t="s">
        <v>7</v>
      </c>
      <c r="C23" t="s">
        <v>32</v>
      </c>
      <c r="D23" s="1">
        <v>44759</v>
      </c>
      <c r="E23" s="6">
        <v>2369.1799999999998</v>
      </c>
      <c r="F23">
        <v>211</v>
      </c>
    </row>
    <row r="24" spans="1:6">
      <c r="A24" t="s">
        <v>16</v>
      </c>
      <c r="B24" t="s">
        <v>10</v>
      </c>
      <c r="C24" t="s">
        <v>8</v>
      </c>
      <c r="D24" s="1">
        <v>44695</v>
      </c>
      <c r="E24" s="6">
        <v>16418.97</v>
      </c>
      <c r="F24">
        <v>358</v>
      </c>
    </row>
    <row r="25" spans="1:6">
      <c r="A25" t="s">
        <v>22</v>
      </c>
      <c r="B25" t="s">
        <v>14</v>
      </c>
      <c r="C25" t="s">
        <v>29</v>
      </c>
      <c r="D25" s="1">
        <v>44576</v>
      </c>
      <c r="E25" s="6">
        <v>10774.83</v>
      </c>
      <c r="F25">
        <v>226</v>
      </c>
    </row>
    <row r="26" spans="1:6">
      <c r="A26" t="s">
        <v>16</v>
      </c>
      <c r="B26" t="s">
        <v>23</v>
      </c>
      <c r="C26" t="s">
        <v>30</v>
      </c>
      <c r="D26" s="1">
        <v>44664</v>
      </c>
      <c r="E26" s="6">
        <v>5958.48</v>
      </c>
      <c r="F26">
        <v>162</v>
      </c>
    </row>
    <row r="27" spans="1:6">
      <c r="A27" t="s">
        <v>22</v>
      </c>
      <c r="B27" t="s">
        <v>24</v>
      </c>
      <c r="C27" t="s">
        <v>19</v>
      </c>
      <c r="D27" s="1">
        <v>44764</v>
      </c>
      <c r="E27" s="6">
        <v>1194.96</v>
      </c>
      <c r="F27">
        <v>74</v>
      </c>
    </row>
    <row r="28" spans="1:6">
      <c r="A28" t="s">
        <v>20</v>
      </c>
      <c r="B28" t="s">
        <v>23</v>
      </c>
      <c r="C28" t="s">
        <v>33</v>
      </c>
      <c r="D28" s="1">
        <v>44662</v>
      </c>
      <c r="E28" s="6">
        <v>314.68</v>
      </c>
      <c r="F28">
        <v>18</v>
      </c>
    </row>
    <row r="29" spans="1:6">
      <c r="A29" t="s">
        <v>34</v>
      </c>
      <c r="B29" t="s">
        <v>23</v>
      </c>
      <c r="C29" t="s">
        <v>35</v>
      </c>
      <c r="D29" s="1">
        <v>44730</v>
      </c>
      <c r="E29" s="6">
        <v>1442.65</v>
      </c>
      <c r="F29">
        <v>91</v>
      </c>
    </row>
    <row r="30" spans="1:6">
      <c r="A30" t="s">
        <v>28</v>
      </c>
      <c r="B30" t="s">
        <v>24</v>
      </c>
      <c r="C30" t="s">
        <v>31</v>
      </c>
      <c r="D30" s="1">
        <v>44724</v>
      </c>
      <c r="E30" s="6">
        <v>2810.34</v>
      </c>
      <c r="F30">
        <v>78</v>
      </c>
    </row>
    <row r="31" spans="1:6">
      <c r="A31" t="s">
        <v>34</v>
      </c>
      <c r="B31" t="s">
        <v>10</v>
      </c>
      <c r="C31" t="s">
        <v>31</v>
      </c>
      <c r="D31" s="1">
        <v>44574</v>
      </c>
      <c r="E31" s="6">
        <v>1394.62</v>
      </c>
      <c r="F31">
        <v>57</v>
      </c>
    </row>
    <row r="32" spans="1:6">
      <c r="A32" t="s">
        <v>28</v>
      </c>
      <c r="B32" t="s">
        <v>23</v>
      </c>
      <c r="C32" t="s">
        <v>30</v>
      </c>
      <c r="D32" s="1">
        <v>44653</v>
      </c>
      <c r="E32" s="6">
        <v>8143.6</v>
      </c>
      <c r="F32">
        <v>213</v>
      </c>
    </row>
    <row r="33" spans="1:6">
      <c r="A33" t="s">
        <v>34</v>
      </c>
      <c r="B33" t="s">
        <v>10</v>
      </c>
      <c r="C33" t="s">
        <v>13</v>
      </c>
      <c r="D33" s="1">
        <v>44752</v>
      </c>
      <c r="E33" s="6">
        <v>12885.94</v>
      </c>
      <c r="F33">
        <v>340</v>
      </c>
    </row>
    <row r="34" spans="1:6">
      <c r="A34" t="s">
        <v>28</v>
      </c>
      <c r="B34" t="s">
        <v>7</v>
      </c>
      <c r="C34" t="s">
        <v>17</v>
      </c>
      <c r="D34" s="1">
        <v>44776</v>
      </c>
      <c r="E34" s="6">
        <v>16223.13</v>
      </c>
      <c r="F34">
        <v>362</v>
      </c>
    </row>
    <row r="35" spans="1:6">
      <c r="A35" t="s">
        <v>21</v>
      </c>
      <c r="B35" t="s">
        <v>10</v>
      </c>
      <c r="C35" t="s">
        <v>25</v>
      </c>
      <c r="D35" s="1">
        <v>44638</v>
      </c>
      <c r="E35" s="6">
        <v>8330.4699999999993</v>
      </c>
      <c r="F35">
        <v>217</v>
      </c>
    </row>
    <row r="36" spans="1:6">
      <c r="A36" t="s">
        <v>34</v>
      </c>
      <c r="B36" t="s">
        <v>14</v>
      </c>
      <c r="C36" t="s">
        <v>18</v>
      </c>
      <c r="D36" s="1">
        <v>44731</v>
      </c>
      <c r="E36" s="6">
        <v>5384.2</v>
      </c>
      <c r="F36">
        <v>290</v>
      </c>
    </row>
    <row r="37" spans="1:6">
      <c r="A37" t="s">
        <v>26</v>
      </c>
      <c r="B37" t="s">
        <v>12</v>
      </c>
      <c r="C37" t="s">
        <v>32</v>
      </c>
      <c r="D37" s="1">
        <v>44627</v>
      </c>
      <c r="E37" s="6">
        <v>19594.27</v>
      </c>
      <c r="F37">
        <v>450</v>
      </c>
    </row>
    <row r="38" spans="1:6">
      <c r="A38" t="s">
        <v>26</v>
      </c>
      <c r="B38" t="s">
        <v>14</v>
      </c>
      <c r="C38" t="s">
        <v>29</v>
      </c>
      <c r="D38" s="1">
        <v>44708</v>
      </c>
      <c r="E38" s="6">
        <v>12213.24</v>
      </c>
      <c r="F38">
        <v>266</v>
      </c>
    </row>
    <row r="39" spans="1:6">
      <c r="A39" t="s">
        <v>6</v>
      </c>
      <c r="B39" t="s">
        <v>10</v>
      </c>
      <c r="C39" t="s">
        <v>32</v>
      </c>
      <c r="D39" s="1">
        <v>44692</v>
      </c>
      <c r="E39" s="6">
        <v>4242.5600000000004</v>
      </c>
      <c r="F39">
        <v>357</v>
      </c>
    </row>
    <row r="40" spans="1:6">
      <c r="A40" t="s">
        <v>34</v>
      </c>
      <c r="B40" t="s">
        <v>23</v>
      </c>
      <c r="C40" t="s">
        <v>25</v>
      </c>
      <c r="D40" s="1">
        <v>44640</v>
      </c>
      <c r="E40" s="6">
        <v>13379.16</v>
      </c>
      <c r="F40">
        <v>498</v>
      </c>
    </row>
    <row r="41" spans="1:6">
      <c r="A41" t="s">
        <v>6</v>
      </c>
      <c r="B41" t="s">
        <v>23</v>
      </c>
      <c r="C41" t="s">
        <v>19</v>
      </c>
      <c r="D41" s="1">
        <v>44645</v>
      </c>
      <c r="E41" s="6">
        <v>9353.99</v>
      </c>
      <c r="F41">
        <v>246</v>
      </c>
    </row>
    <row r="42" spans="1:6">
      <c r="A42" t="s">
        <v>11</v>
      </c>
      <c r="B42" t="s">
        <v>14</v>
      </c>
      <c r="C42" t="s">
        <v>29</v>
      </c>
      <c r="D42" s="1">
        <v>44799</v>
      </c>
      <c r="E42" s="6">
        <v>5032.7299999999996</v>
      </c>
      <c r="F42">
        <v>147</v>
      </c>
    </row>
    <row r="43" spans="1:6">
      <c r="A43" t="s">
        <v>34</v>
      </c>
      <c r="B43" t="s">
        <v>10</v>
      </c>
      <c r="C43" t="s">
        <v>17</v>
      </c>
      <c r="D43" s="1">
        <v>44570</v>
      </c>
      <c r="E43" s="6">
        <v>3041.08</v>
      </c>
      <c r="F43">
        <v>103</v>
      </c>
    </row>
    <row r="44" spans="1:6">
      <c r="A44" t="s">
        <v>11</v>
      </c>
      <c r="B44" t="s">
        <v>7</v>
      </c>
      <c r="C44" t="s">
        <v>27</v>
      </c>
      <c r="D44" s="1">
        <v>44645</v>
      </c>
      <c r="E44" s="6">
        <v>3258.73</v>
      </c>
      <c r="F44">
        <v>150</v>
      </c>
    </row>
    <row r="45" spans="1:6">
      <c r="A45" t="s">
        <v>28</v>
      </c>
      <c r="B45" t="s">
        <v>24</v>
      </c>
      <c r="C45" t="s">
        <v>35</v>
      </c>
      <c r="D45" s="1">
        <v>44698</v>
      </c>
      <c r="E45" s="6">
        <v>10452.26</v>
      </c>
      <c r="F45">
        <v>242</v>
      </c>
    </row>
    <row r="46" spans="1:6">
      <c r="A46" t="s">
        <v>9</v>
      </c>
      <c r="B46" t="s">
        <v>24</v>
      </c>
      <c r="C46" t="s">
        <v>32</v>
      </c>
      <c r="D46" s="1">
        <v>44710</v>
      </c>
      <c r="E46" s="6">
        <v>8642.86</v>
      </c>
      <c r="F46">
        <v>298</v>
      </c>
    </row>
    <row r="47" spans="1:6">
      <c r="A47" t="s">
        <v>11</v>
      </c>
      <c r="B47" t="s">
        <v>12</v>
      </c>
      <c r="C47" t="s">
        <v>18</v>
      </c>
      <c r="D47" s="1">
        <v>44651</v>
      </c>
      <c r="E47" s="6">
        <v>2523.86</v>
      </c>
      <c r="F47">
        <v>102</v>
      </c>
    </row>
    <row r="48" spans="1:6">
      <c r="A48" t="s">
        <v>9</v>
      </c>
      <c r="B48" t="s">
        <v>7</v>
      </c>
      <c r="C48" t="s">
        <v>33</v>
      </c>
      <c r="D48" s="1">
        <v>44688</v>
      </c>
      <c r="E48" s="6">
        <v>11599.9</v>
      </c>
      <c r="F48">
        <v>324</v>
      </c>
    </row>
    <row r="49" spans="1:6">
      <c r="A49" t="s">
        <v>28</v>
      </c>
      <c r="B49" t="s">
        <v>14</v>
      </c>
      <c r="C49" t="s">
        <v>36</v>
      </c>
      <c r="D49" s="1">
        <v>44708</v>
      </c>
      <c r="E49" s="6">
        <v>15606.61</v>
      </c>
      <c r="F49">
        <v>331</v>
      </c>
    </row>
    <row r="50" spans="1:6">
      <c r="A50" t="s">
        <v>34</v>
      </c>
      <c r="B50" t="s">
        <v>14</v>
      </c>
      <c r="C50" t="s">
        <v>17</v>
      </c>
      <c r="D50" s="1">
        <v>44755</v>
      </c>
      <c r="E50" s="6">
        <v>9583.51</v>
      </c>
      <c r="F50">
        <v>312</v>
      </c>
    </row>
    <row r="51" spans="1:6">
      <c r="A51" t="s">
        <v>21</v>
      </c>
      <c r="B51" t="s">
        <v>14</v>
      </c>
      <c r="C51" t="s">
        <v>19</v>
      </c>
      <c r="D51" s="1">
        <v>44786</v>
      </c>
      <c r="E51" s="6">
        <v>10192.85</v>
      </c>
      <c r="F51">
        <v>373</v>
      </c>
    </row>
    <row r="52" spans="1:6">
      <c r="A52" t="s">
        <v>22</v>
      </c>
      <c r="B52" t="s">
        <v>24</v>
      </c>
      <c r="C52" t="s">
        <v>32</v>
      </c>
      <c r="D52" s="1">
        <v>44683</v>
      </c>
      <c r="E52" s="6">
        <v>21701.439999999999</v>
      </c>
      <c r="F52">
        <v>483</v>
      </c>
    </row>
    <row r="53" spans="1:6">
      <c r="A53" t="s">
        <v>16</v>
      </c>
      <c r="B53" t="s">
        <v>12</v>
      </c>
      <c r="C53" t="s">
        <v>27</v>
      </c>
      <c r="D53" s="1">
        <v>44801</v>
      </c>
      <c r="E53" s="6">
        <v>6496.58</v>
      </c>
      <c r="F53">
        <v>366</v>
      </c>
    </row>
    <row r="54" spans="1:6">
      <c r="A54" t="s">
        <v>11</v>
      </c>
      <c r="B54" t="s">
        <v>14</v>
      </c>
      <c r="C54" t="s">
        <v>13</v>
      </c>
      <c r="D54" s="1">
        <v>44594</v>
      </c>
      <c r="E54" s="6">
        <v>16383.31</v>
      </c>
      <c r="F54">
        <v>438</v>
      </c>
    </row>
    <row r="55" spans="1:6">
      <c r="A55" t="s">
        <v>34</v>
      </c>
      <c r="B55" t="s">
        <v>14</v>
      </c>
      <c r="C55" t="s">
        <v>13</v>
      </c>
      <c r="D55" s="1">
        <v>44715</v>
      </c>
      <c r="E55" s="6">
        <v>15834.45</v>
      </c>
      <c r="F55">
        <v>361</v>
      </c>
    </row>
    <row r="56" spans="1:6">
      <c r="A56" t="s">
        <v>21</v>
      </c>
      <c r="B56" t="s">
        <v>10</v>
      </c>
      <c r="C56" t="s">
        <v>17</v>
      </c>
      <c r="D56" s="1">
        <v>44698</v>
      </c>
      <c r="E56" s="6">
        <v>7501.02</v>
      </c>
      <c r="F56">
        <v>489</v>
      </c>
    </row>
    <row r="57" spans="1:6">
      <c r="A57" t="s">
        <v>21</v>
      </c>
      <c r="B57" t="s">
        <v>10</v>
      </c>
      <c r="C57" t="s">
        <v>32</v>
      </c>
      <c r="D57" s="1">
        <v>44736</v>
      </c>
      <c r="E57" s="6">
        <v>922.43</v>
      </c>
      <c r="F57">
        <v>29</v>
      </c>
    </row>
    <row r="58" spans="1:6">
      <c r="A58" t="s">
        <v>11</v>
      </c>
      <c r="B58" t="s">
        <v>12</v>
      </c>
      <c r="C58" t="s">
        <v>15</v>
      </c>
      <c r="D58" s="1">
        <v>44679</v>
      </c>
      <c r="E58" s="6">
        <v>6141.45</v>
      </c>
      <c r="F58">
        <v>213</v>
      </c>
    </row>
    <row r="59" spans="1:6">
      <c r="A59" t="s">
        <v>21</v>
      </c>
      <c r="B59" t="s">
        <v>14</v>
      </c>
      <c r="C59" t="s">
        <v>18</v>
      </c>
      <c r="D59" s="1">
        <v>44643</v>
      </c>
      <c r="E59" s="6">
        <v>1745.79</v>
      </c>
      <c r="F59">
        <v>156</v>
      </c>
    </row>
    <row r="60" spans="1:6">
      <c r="A60" t="s">
        <v>28</v>
      </c>
      <c r="B60" t="s">
        <v>14</v>
      </c>
      <c r="C60" t="s">
        <v>33</v>
      </c>
      <c r="D60" s="1">
        <v>44645</v>
      </c>
      <c r="E60" s="6">
        <v>7268.2</v>
      </c>
      <c r="F60">
        <v>198</v>
      </c>
    </row>
    <row r="61" spans="1:6">
      <c r="A61" t="s">
        <v>16</v>
      </c>
      <c r="B61" t="s">
        <v>10</v>
      </c>
      <c r="C61" t="s">
        <v>36</v>
      </c>
      <c r="D61" s="1">
        <v>44676</v>
      </c>
      <c r="E61" s="6">
        <v>424.38</v>
      </c>
      <c r="F61">
        <v>30</v>
      </c>
    </row>
    <row r="62" spans="1:6">
      <c r="A62" t="s">
        <v>21</v>
      </c>
      <c r="B62" t="s">
        <v>14</v>
      </c>
      <c r="C62" t="s">
        <v>13</v>
      </c>
      <c r="D62" s="1">
        <v>44659</v>
      </c>
      <c r="E62" s="6">
        <v>10711.79</v>
      </c>
      <c r="F62">
        <v>331</v>
      </c>
    </row>
    <row r="63" spans="1:6">
      <c r="A63" t="s">
        <v>21</v>
      </c>
      <c r="B63" t="s">
        <v>24</v>
      </c>
      <c r="C63" t="s">
        <v>29</v>
      </c>
      <c r="D63" s="1">
        <v>44643</v>
      </c>
      <c r="E63" s="6">
        <v>8154.9</v>
      </c>
      <c r="F63">
        <v>248</v>
      </c>
    </row>
    <row r="64" spans="1:6">
      <c r="A64" t="s">
        <v>26</v>
      </c>
      <c r="B64" t="s">
        <v>14</v>
      </c>
      <c r="C64" t="s">
        <v>19</v>
      </c>
      <c r="D64" s="1">
        <v>44767</v>
      </c>
      <c r="E64" s="6">
        <v>5132.41</v>
      </c>
      <c r="F64">
        <v>454</v>
      </c>
    </row>
    <row r="65" spans="1:6">
      <c r="A65" t="s">
        <v>20</v>
      </c>
      <c r="B65" t="s">
        <v>12</v>
      </c>
      <c r="C65" t="s">
        <v>29</v>
      </c>
      <c r="D65" s="1">
        <v>44641</v>
      </c>
      <c r="E65" s="6">
        <v>6538.2</v>
      </c>
      <c r="F65">
        <v>264</v>
      </c>
    </row>
    <row r="66" spans="1:6">
      <c r="A66" t="s">
        <v>9</v>
      </c>
      <c r="B66" t="s">
        <v>24</v>
      </c>
      <c r="C66" t="s">
        <v>18</v>
      </c>
      <c r="D66" s="1">
        <v>44753</v>
      </c>
      <c r="E66" s="6">
        <v>13625.75</v>
      </c>
      <c r="F66">
        <v>406</v>
      </c>
    </row>
    <row r="67" spans="1:6">
      <c r="A67" t="s">
        <v>20</v>
      </c>
      <c r="B67" t="s">
        <v>23</v>
      </c>
      <c r="C67" t="s">
        <v>36</v>
      </c>
      <c r="D67" s="1">
        <v>44730</v>
      </c>
      <c r="E67" s="6">
        <v>3344.35</v>
      </c>
      <c r="F67">
        <v>244</v>
      </c>
    </row>
    <row r="68" spans="1:6">
      <c r="A68" t="s">
        <v>16</v>
      </c>
      <c r="B68" t="s">
        <v>12</v>
      </c>
      <c r="C68" t="s">
        <v>8</v>
      </c>
      <c r="D68" s="1">
        <v>44622</v>
      </c>
      <c r="E68" s="6">
        <v>11456.29</v>
      </c>
      <c r="F68">
        <v>325</v>
      </c>
    </row>
    <row r="69" spans="1:6">
      <c r="A69" t="s">
        <v>26</v>
      </c>
      <c r="B69" t="s">
        <v>12</v>
      </c>
      <c r="C69" t="s">
        <v>27</v>
      </c>
      <c r="D69" s="1">
        <v>44670</v>
      </c>
      <c r="E69" s="6">
        <v>8946.01</v>
      </c>
      <c r="F69">
        <v>434</v>
      </c>
    </row>
    <row r="70" spans="1:6">
      <c r="A70" t="s">
        <v>11</v>
      </c>
      <c r="B70" t="s">
        <v>23</v>
      </c>
      <c r="C70" t="s">
        <v>27</v>
      </c>
      <c r="D70" s="1">
        <v>44577</v>
      </c>
      <c r="E70" s="6">
        <v>15120.74</v>
      </c>
      <c r="F70">
        <v>360</v>
      </c>
    </row>
    <row r="71" spans="1:6">
      <c r="A71" t="s">
        <v>9</v>
      </c>
      <c r="B71" t="s">
        <v>7</v>
      </c>
      <c r="C71" t="s">
        <v>31</v>
      </c>
      <c r="D71" s="1">
        <v>44652</v>
      </c>
      <c r="E71" s="6">
        <v>9372.51</v>
      </c>
      <c r="F71">
        <v>274</v>
      </c>
    </row>
    <row r="72" spans="1:6">
      <c r="A72" t="s">
        <v>11</v>
      </c>
      <c r="B72" t="s">
        <v>10</v>
      </c>
      <c r="C72" t="s">
        <v>32</v>
      </c>
      <c r="D72" s="1">
        <v>44703</v>
      </c>
      <c r="E72" s="6">
        <v>4531.42</v>
      </c>
      <c r="F72">
        <v>107</v>
      </c>
    </row>
    <row r="73" spans="1:6">
      <c r="A73" t="s">
        <v>21</v>
      </c>
      <c r="B73" t="s">
        <v>24</v>
      </c>
      <c r="C73" t="s">
        <v>8</v>
      </c>
      <c r="D73" s="1">
        <v>44574</v>
      </c>
      <c r="E73" s="6">
        <v>16283.5</v>
      </c>
      <c r="F73">
        <v>456</v>
      </c>
    </row>
    <row r="74" spans="1:6">
      <c r="A74" t="s">
        <v>26</v>
      </c>
      <c r="B74" t="s">
        <v>7</v>
      </c>
      <c r="C74" t="s">
        <v>19</v>
      </c>
      <c r="D74" s="1">
        <v>44585</v>
      </c>
      <c r="E74" s="6">
        <v>10108.84</v>
      </c>
      <c r="F74">
        <v>402</v>
      </c>
    </row>
    <row r="75" spans="1:6">
      <c r="A75" t="s">
        <v>21</v>
      </c>
      <c r="B75" t="s">
        <v>10</v>
      </c>
      <c r="C75" t="s">
        <v>13</v>
      </c>
      <c r="D75" s="1">
        <v>44785</v>
      </c>
      <c r="E75" s="6">
        <v>3801.03</v>
      </c>
      <c r="F75">
        <v>202</v>
      </c>
    </row>
    <row r="76" spans="1:6">
      <c r="A76" t="s">
        <v>28</v>
      </c>
      <c r="B76" t="s">
        <v>24</v>
      </c>
      <c r="C76" t="s">
        <v>35</v>
      </c>
      <c r="D76" s="1">
        <v>44750</v>
      </c>
      <c r="E76" s="6">
        <v>1308.08</v>
      </c>
      <c r="F76">
        <v>51</v>
      </c>
    </row>
    <row r="77" spans="1:6">
      <c r="A77" t="s">
        <v>21</v>
      </c>
      <c r="B77" t="s">
        <v>7</v>
      </c>
      <c r="C77" t="s">
        <v>25</v>
      </c>
      <c r="D77" s="1">
        <v>44751</v>
      </c>
      <c r="E77" s="6">
        <v>13195</v>
      </c>
      <c r="F77">
        <v>285</v>
      </c>
    </row>
    <row r="78" spans="1:6">
      <c r="A78" t="s">
        <v>20</v>
      </c>
      <c r="B78" t="s">
        <v>23</v>
      </c>
      <c r="C78" t="s">
        <v>30</v>
      </c>
      <c r="D78" s="1">
        <v>44676</v>
      </c>
      <c r="E78" s="6">
        <v>5223.33</v>
      </c>
      <c r="F78">
        <v>152</v>
      </c>
    </row>
    <row r="79" spans="1:6">
      <c r="A79" t="s">
        <v>22</v>
      </c>
      <c r="B79" t="s">
        <v>7</v>
      </c>
      <c r="C79" t="s">
        <v>15</v>
      </c>
      <c r="D79" s="1">
        <v>44803</v>
      </c>
      <c r="E79" s="6">
        <v>6102.47</v>
      </c>
      <c r="F79">
        <v>146</v>
      </c>
    </row>
    <row r="80" spans="1:6">
      <c r="A80" t="s">
        <v>21</v>
      </c>
      <c r="B80" t="s">
        <v>23</v>
      </c>
      <c r="C80" t="s">
        <v>32</v>
      </c>
      <c r="D80" s="1">
        <v>44741</v>
      </c>
      <c r="E80" s="6">
        <v>8416.43</v>
      </c>
      <c r="F80">
        <v>237</v>
      </c>
    </row>
    <row r="81" spans="1:6">
      <c r="A81" t="s">
        <v>20</v>
      </c>
      <c r="B81" t="s">
        <v>7</v>
      </c>
      <c r="C81" t="s">
        <v>31</v>
      </c>
      <c r="D81" s="1">
        <v>44703</v>
      </c>
      <c r="E81" s="6">
        <v>8215.8700000000008</v>
      </c>
      <c r="F81">
        <v>334</v>
      </c>
    </row>
    <row r="82" spans="1:6">
      <c r="A82" t="s">
        <v>16</v>
      </c>
      <c r="B82" t="s">
        <v>7</v>
      </c>
      <c r="C82" t="s">
        <v>36</v>
      </c>
      <c r="D82" s="1">
        <v>44649</v>
      </c>
      <c r="E82" s="6">
        <v>6936.38</v>
      </c>
      <c r="F82">
        <v>322</v>
      </c>
    </row>
    <row r="83" spans="1:6">
      <c r="A83" t="s">
        <v>22</v>
      </c>
      <c r="B83" t="s">
        <v>14</v>
      </c>
      <c r="C83" t="s">
        <v>31</v>
      </c>
      <c r="D83" s="1">
        <v>44624</v>
      </c>
      <c r="E83" s="6">
        <v>2422.62</v>
      </c>
      <c r="F83">
        <v>180</v>
      </c>
    </row>
    <row r="84" spans="1:6">
      <c r="A84" t="s">
        <v>6</v>
      </c>
      <c r="B84" t="s">
        <v>24</v>
      </c>
      <c r="C84" t="s">
        <v>35</v>
      </c>
      <c r="D84" s="1">
        <v>44574</v>
      </c>
      <c r="E84" s="6">
        <v>17090.34</v>
      </c>
      <c r="F84">
        <v>366</v>
      </c>
    </row>
    <row r="85" spans="1:6">
      <c r="A85" t="s">
        <v>26</v>
      </c>
      <c r="B85" t="s">
        <v>7</v>
      </c>
      <c r="C85" t="s">
        <v>32</v>
      </c>
      <c r="D85" s="1">
        <v>44615</v>
      </c>
      <c r="E85" s="6">
        <v>10497.39</v>
      </c>
      <c r="F85">
        <v>324</v>
      </c>
    </row>
    <row r="86" spans="1:6">
      <c r="A86" t="s">
        <v>16</v>
      </c>
      <c r="B86" t="s">
        <v>10</v>
      </c>
      <c r="C86" t="s">
        <v>31</v>
      </c>
      <c r="D86" s="1">
        <v>44802</v>
      </c>
      <c r="E86" s="6">
        <v>569.78</v>
      </c>
      <c r="F86">
        <v>14</v>
      </c>
    </row>
    <row r="87" spans="1:6">
      <c r="A87" t="s">
        <v>22</v>
      </c>
      <c r="B87" t="s">
        <v>10</v>
      </c>
      <c r="C87" t="s">
        <v>32</v>
      </c>
      <c r="D87" s="1">
        <v>44635</v>
      </c>
      <c r="E87" s="6">
        <v>4103.17</v>
      </c>
      <c r="F87">
        <v>124</v>
      </c>
    </row>
    <row r="88" spans="1:6">
      <c r="A88" t="s">
        <v>20</v>
      </c>
      <c r="B88" t="s">
        <v>23</v>
      </c>
      <c r="C88" t="s">
        <v>36</v>
      </c>
      <c r="D88" s="1">
        <v>44799</v>
      </c>
      <c r="E88" s="6">
        <v>891.11</v>
      </c>
      <c r="F88">
        <v>73</v>
      </c>
    </row>
    <row r="89" spans="1:6">
      <c r="A89" t="s">
        <v>20</v>
      </c>
      <c r="B89" t="s">
        <v>10</v>
      </c>
      <c r="C89" t="s">
        <v>32</v>
      </c>
      <c r="D89" s="1">
        <v>44579</v>
      </c>
      <c r="E89" s="6">
        <v>14127.27</v>
      </c>
      <c r="F89">
        <v>465</v>
      </c>
    </row>
    <row r="90" spans="1:6">
      <c r="A90" t="s">
        <v>22</v>
      </c>
      <c r="B90" t="s">
        <v>24</v>
      </c>
      <c r="C90" t="s">
        <v>8</v>
      </c>
      <c r="D90" s="1">
        <v>44645</v>
      </c>
      <c r="E90" s="6">
        <v>5150.2700000000004</v>
      </c>
      <c r="F90">
        <v>218</v>
      </c>
    </row>
    <row r="91" spans="1:6">
      <c r="A91" t="s">
        <v>21</v>
      </c>
      <c r="B91" t="s">
        <v>24</v>
      </c>
      <c r="C91" t="s">
        <v>25</v>
      </c>
      <c r="D91" s="1">
        <v>44628</v>
      </c>
      <c r="E91" s="6">
        <v>146.69999999999999</v>
      </c>
      <c r="F91">
        <v>13</v>
      </c>
    </row>
    <row r="92" spans="1:6">
      <c r="A92" t="s">
        <v>16</v>
      </c>
      <c r="B92" t="s">
        <v>14</v>
      </c>
      <c r="C92" t="s">
        <v>27</v>
      </c>
      <c r="D92" s="1">
        <v>44609</v>
      </c>
      <c r="E92" s="6">
        <v>3812.92</v>
      </c>
      <c r="F92">
        <v>118</v>
      </c>
    </row>
    <row r="93" spans="1:6">
      <c r="A93" t="s">
        <v>34</v>
      </c>
      <c r="B93" t="s">
        <v>24</v>
      </c>
      <c r="C93" t="s">
        <v>30</v>
      </c>
      <c r="D93" s="1">
        <v>44765</v>
      </c>
      <c r="E93" s="6">
        <v>9450.0400000000009</v>
      </c>
      <c r="F93">
        <v>218</v>
      </c>
    </row>
    <row r="94" spans="1:6">
      <c r="A94" t="s">
        <v>21</v>
      </c>
      <c r="B94" t="s">
        <v>10</v>
      </c>
      <c r="C94" t="s">
        <v>25</v>
      </c>
      <c r="D94" s="1">
        <v>44606</v>
      </c>
      <c r="E94" s="6">
        <v>6457.54</v>
      </c>
      <c r="F94">
        <v>293</v>
      </c>
    </row>
    <row r="95" spans="1:6">
      <c r="A95" t="s">
        <v>22</v>
      </c>
      <c r="B95" t="s">
        <v>10</v>
      </c>
      <c r="C95" t="s">
        <v>31</v>
      </c>
      <c r="D95" s="1">
        <v>44611</v>
      </c>
      <c r="E95" s="6">
        <v>7925.54</v>
      </c>
      <c r="F95">
        <v>309</v>
      </c>
    </row>
    <row r="96" spans="1:6">
      <c r="A96" t="s">
        <v>6</v>
      </c>
      <c r="B96" t="s">
        <v>24</v>
      </c>
      <c r="C96" t="s">
        <v>19</v>
      </c>
      <c r="D96" s="1">
        <v>44664</v>
      </c>
      <c r="E96" s="6">
        <v>16861.45</v>
      </c>
      <c r="F96">
        <v>385</v>
      </c>
    </row>
    <row r="97" spans="1:6">
      <c r="A97" t="s">
        <v>6</v>
      </c>
      <c r="B97" t="s">
        <v>14</v>
      </c>
      <c r="C97" t="s">
        <v>15</v>
      </c>
      <c r="D97" s="1">
        <v>44790</v>
      </c>
      <c r="E97" s="6">
        <v>1650.87</v>
      </c>
      <c r="F97">
        <v>72</v>
      </c>
    </row>
    <row r="98" spans="1:6">
      <c r="A98" t="s">
        <v>11</v>
      </c>
      <c r="B98" t="s">
        <v>23</v>
      </c>
      <c r="C98" t="s">
        <v>27</v>
      </c>
      <c r="D98" s="1">
        <v>44757</v>
      </c>
      <c r="E98" s="6">
        <v>19861.82</v>
      </c>
      <c r="F98">
        <v>424</v>
      </c>
    </row>
    <row r="99" spans="1:6">
      <c r="A99" t="s">
        <v>20</v>
      </c>
      <c r="B99" t="s">
        <v>7</v>
      </c>
      <c r="C99" t="s">
        <v>13</v>
      </c>
      <c r="D99" s="1">
        <v>44720</v>
      </c>
      <c r="E99" s="6">
        <v>10647.12</v>
      </c>
      <c r="F99">
        <v>234</v>
      </c>
    </row>
    <row r="100" spans="1:6">
      <c r="A100" t="s">
        <v>22</v>
      </c>
      <c r="B100" t="s">
        <v>23</v>
      </c>
      <c r="C100" t="s">
        <v>36</v>
      </c>
      <c r="D100" s="1">
        <v>44715</v>
      </c>
      <c r="E100" s="6">
        <v>1564.91</v>
      </c>
      <c r="F100">
        <v>49</v>
      </c>
    </row>
    <row r="101" spans="1:6">
      <c r="A101" t="s">
        <v>28</v>
      </c>
      <c r="B101" t="s">
        <v>12</v>
      </c>
      <c r="C101" t="s">
        <v>19</v>
      </c>
      <c r="D101" s="1">
        <v>44571</v>
      </c>
      <c r="E101" s="6">
        <v>2126.3000000000002</v>
      </c>
      <c r="F101">
        <v>89</v>
      </c>
    </row>
    <row r="102" spans="1:6">
      <c r="A102" t="s">
        <v>28</v>
      </c>
      <c r="B102" t="s">
        <v>12</v>
      </c>
      <c r="C102" t="s">
        <v>30</v>
      </c>
      <c r="D102" s="1">
        <v>44660</v>
      </c>
      <c r="E102" s="6">
        <v>2893.74</v>
      </c>
      <c r="F102">
        <v>204</v>
      </c>
    </row>
    <row r="103" spans="1:6">
      <c r="A103" t="s">
        <v>20</v>
      </c>
      <c r="B103" t="s">
        <v>23</v>
      </c>
      <c r="C103" t="s">
        <v>19</v>
      </c>
      <c r="D103" s="1">
        <v>44668</v>
      </c>
      <c r="E103" s="6">
        <v>13434.96</v>
      </c>
      <c r="F103">
        <v>283</v>
      </c>
    </row>
    <row r="104" spans="1:6">
      <c r="A104" t="s">
        <v>9</v>
      </c>
      <c r="B104" t="s">
        <v>12</v>
      </c>
      <c r="C104" t="s">
        <v>17</v>
      </c>
      <c r="D104" s="1">
        <v>44747</v>
      </c>
      <c r="E104" s="6">
        <v>8273.51</v>
      </c>
      <c r="F104">
        <v>169</v>
      </c>
    </row>
    <row r="105" spans="1:6">
      <c r="A105" t="s">
        <v>21</v>
      </c>
      <c r="B105" t="s">
        <v>10</v>
      </c>
      <c r="C105" t="s">
        <v>33</v>
      </c>
      <c r="D105" s="1">
        <v>44658</v>
      </c>
      <c r="E105" s="6">
        <v>4063.64</v>
      </c>
      <c r="F105">
        <v>149</v>
      </c>
    </row>
    <row r="106" spans="1:6">
      <c r="A106" t="s">
        <v>22</v>
      </c>
      <c r="B106" t="s">
        <v>10</v>
      </c>
      <c r="C106" t="s">
        <v>8</v>
      </c>
      <c r="D106" s="1">
        <v>44779</v>
      </c>
      <c r="E106" s="6">
        <v>6650.47</v>
      </c>
      <c r="F106">
        <v>471</v>
      </c>
    </row>
    <row r="107" spans="1:6">
      <c r="A107" t="s">
        <v>28</v>
      </c>
      <c r="B107" t="s">
        <v>24</v>
      </c>
      <c r="C107" t="s">
        <v>32</v>
      </c>
      <c r="D107" s="1">
        <v>44600</v>
      </c>
      <c r="E107" s="6">
        <v>4463.32</v>
      </c>
      <c r="F107">
        <v>295</v>
      </c>
    </row>
    <row r="108" spans="1:6">
      <c r="A108" t="s">
        <v>26</v>
      </c>
      <c r="B108" t="s">
        <v>24</v>
      </c>
      <c r="C108" t="s">
        <v>36</v>
      </c>
      <c r="D108" s="1">
        <v>44630</v>
      </c>
      <c r="E108" s="6">
        <v>16996.07</v>
      </c>
      <c r="F108">
        <v>471</v>
      </c>
    </row>
    <row r="109" spans="1:6">
      <c r="A109" t="s">
        <v>22</v>
      </c>
      <c r="B109" t="s">
        <v>10</v>
      </c>
      <c r="C109" t="s">
        <v>19</v>
      </c>
      <c r="D109" s="1">
        <v>44803</v>
      </c>
      <c r="E109" s="6">
        <v>4768.41</v>
      </c>
      <c r="F109">
        <v>183</v>
      </c>
    </row>
    <row r="110" spans="1:6">
      <c r="A110" t="s">
        <v>20</v>
      </c>
      <c r="B110" t="s">
        <v>23</v>
      </c>
      <c r="C110" t="s">
        <v>25</v>
      </c>
      <c r="D110" s="1">
        <v>44650</v>
      </c>
      <c r="E110" s="6">
        <v>18046.13</v>
      </c>
      <c r="F110">
        <v>401</v>
      </c>
    </row>
    <row r="111" spans="1:6">
      <c r="A111" t="s">
        <v>34</v>
      </c>
      <c r="B111" t="s">
        <v>24</v>
      </c>
      <c r="C111" t="s">
        <v>8</v>
      </c>
      <c r="D111" s="1">
        <v>44699</v>
      </c>
      <c r="E111" s="6">
        <v>868.92</v>
      </c>
      <c r="F111">
        <v>46</v>
      </c>
    </row>
    <row r="112" spans="1:6">
      <c r="A112" t="s">
        <v>28</v>
      </c>
      <c r="B112" t="s">
        <v>23</v>
      </c>
      <c r="C112" t="s">
        <v>33</v>
      </c>
      <c r="D112" s="1">
        <v>44587</v>
      </c>
      <c r="E112" s="6">
        <v>4759.75</v>
      </c>
      <c r="F112">
        <v>96</v>
      </c>
    </row>
    <row r="113" spans="1:6">
      <c r="A113" t="s">
        <v>20</v>
      </c>
      <c r="B113" t="s">
        <v>24</v>
      </c>
      <c r="C113" t="s">
        <v>18</v>
      </c>
      <c r="D113" s="1">
        <v>44642</v>
      </c>
      <c r="E113" s="6">
        <v>19576.41</v>
      </c>
      <c r="F113">
        <v>402</v>
      </c>
    </row>
    <row r="114" spans="1:6">
      <c r="A114" t="s">
        <v>16</v>
      </c>
      <c r="B114" t="s">
        <v>24</v>
      </c>
      <c r="C114" t="s">
        <v>17</v>
      </c>
      <c r="D114" s="1">
        <v>44732</v>
      </c>
      <c r="E114" s="6">
        <v>4824.9399999999996</v>
      </c>
      <c r="F114">
        <v>235</v>
      </c>
    </row>
    <row r="115" spans="1:6">
      <c r="A115" t="s">
        <v>20</v>
      </c>
      <c r="B115" t="s">
        <v>7</v>
      </c>
      <c r="C115" t="s">
        <v>27</v>
      </c>
      <c r="D115" s="1">
        <v>44700</v>
      </c>
      <c r="E115" s="6">
        <v>5555.52</v>
      </c>
      <c r="F115">
        <v>150</v>
      </c>
    </row>
    <row r="116" spans="1:6">
      <c r="A116" t="s">
        <v>6</v>
      </c>
      <c r="B116" t="s">
        <v>24</v>
      </c>
      <c r="C116" t="s">
        <v>8</v>
      </c>
      <c r="D116" s="1">
        <v>44589</v>
      </c>
      <c r="E116" s="6">
        <v>6004.2</v>
      </c>
      <c r="F116">
        <v>126</v>
      </c>
    </row>
    <row r="117" spans="1:6">
      <c r="A117" t="s">
        <v>16</v>
      </c>
      <c r="B117" t="s">
        <v>24</v>
      </c>
      <c r="C117" t="s">
        <v>36</v>
      </c>
      <c r="D117" s="1">
        <v>44657</v>
      </c>
      <c r="E117" s="6">
        <v>12369.81</v>
      </c>
      <c r="F117">
        <v>456</v>
      </c>
    </row>
    <row r="118" spans="1:6">
      <c r="A118" t="s">
        <v>21</v>
      </c>
      <c r="B118" t="s">
        <v>10</v>
      </c>
      <c r="C118" t="s">
        <v>17</v>
      </c>
      <c r="D118" s="1">
        <v>44704</v>
      </c>
      <c r="E118" s="6">
        <v>861.89</v>
      </c>
      <c r="F118">
        <v>29</v>
      </c>
    </row>
    <row r="119" spans="1:6">
      <c r="A119" t="s">
        <v>26</v>
      </c>
      <c r="B119" t="s">
        <v>23</v>
      </c>
      <c r="C119" t="s">
        <v>29</v>
      </c>
      <c r="D119" s="1">
        <v>44631</v>
      </c>
      <c r="E119" s="6">
        <v>6048.32</v>
      </c>
      <c r="F119">
        <v>360</v>
      </c>
    </row>
    <row r="120" spans="1:6">
      <c r="A120" t="s">
        <v>16</v>
      </c>
      <c r="B120" t="s">
        <v>12</v>
      </c>
      <c r="C120" t="s">
        <v>13</v>
      </c>
      <c r="D120" s="1">
        <v>44714</v>
      </c>
      <c r="E120" s="6">
        <v>15051.5</v>
      </c>
      <c r="F120">
        <v>418</v>
      </c>
    </row>
    <row r="121" spans="1:6">
      <c r="A121" t="s">
        <v>34</v>
      </c>
      <c r="B121" t="s">
        <v>10</v>
      </c>
      <c r="C121" t="s">
        <v>31</v>
      </c>
      <c r="D121" s="1">
        <v>44699</v>
      </c>
      <c r="E121" s="6">
        <v>756.72</v>
      </c>
      <c r="F121">
        <v>24</v>
      </c>
    </row>
    <row r="122" spans="1:6">
      <c r="A122" t="s">
        <v>20</v>
      </c>
      <c r="B122" t="s">
        <v>7</v>
      </c>
      <c r="C122" t="s">
        <v>15</v>
      </c>
      <c r="D122" s="1">
        <v>44734</v>
      </c>
      <c r="E122" s="6">
        <v>534.64</v>
      </c>
      <c r="F122">
        <v>22</v>
      </c>
    </row>
    <row r="123" spans="1:6">
      <c r="A123" t="s">
        <v>26</v>
      </c>
      <c r="B123" t="s">
        <v>7</v>
      </c>
      <c r="C123" t="s">
        <v>8</v>
      </c>
      <c r="D123" s="1">
        <v>44662</v>
      </c>
      <c r="E123" s="6">
        <v>12424.63</v>
      </c>
      <c r="F123">
        <v>360</v>
      </c>
    </row>
    <row r="124" spans="1:6">
      <c r="A124" t="s">
        <v>28</v>
      </c>
      <c r="B124" t="s">
        <v>12</v>
      </c>
      <c r="C124" t="s">
        <v>25</v>
      </c>
      <c r="D124" s="1">
        <v>44699</v>
      </c>
      <c r="E124" s="6">
        <v>15136.25</v>
      </c>
      <c r="F124">
        <v>354</v>
      </c>
    </row>
    <row r="125" spans="1:6">
      <c r="A125" t="s">
        <v>28</v>
      </c>
      <c r="B125" t="s">
        <v>10</v>
      </c>
      <c r="C125" t="s">
        <v>25</v>
      </c>
      <c r="D125" s="1">
        <v>44648</v>
      </c>
      <c r="E125" s="6">
        <v>580.35</v>
      </c>
      <c r="F125">
        <v>31</v>
      </c>
    </row>
    <row r="126" spans="1:6">
      <c r="A126" t="s">
        <v>11</v>
      </c>
      <c r="B126" t="s">
        <v>12</v>
      </c>
      <c r="C126" t="s">
        <v>33</v>
      </c>
      <c r="D126" s="1">
        <v>44803</v>
      </c>
      <c r="E126" s="6">
        <v>5804.87</v>
      </c>
      <c r="F126">
        <v>119</v>
      </c>
    </row>
    <row r="127" spans="1:6">
      <c r="A127" t="s">
        <v>21</v>
      </c>
      <c r="B127" t="s">
        <v>14</v>
      </c>
      <c r="C127" t="s">
        <v>25</v>
      </c>
      <c r="D127" s="1">
        <v>44591</v>
      </c>
      <c r="E127" s="6">
        <v>23152.04</v>
      </c>
      <c r="F127">
        <v>487</v>
      </c>
    </row>
    <row r="128" spans="1:6">
      <c r="A128" t="s">
        <v>34</v>
      </c>
      <c r="B128" t="s">
        <v>7</v>
      </c>
      <c r="C128" t="s">
        <v>36</v>
      </c>
      <c r="D128" s="1">
        <v>44792</v>
      </c>
      <c r="E128" s="6">
        <v>6174.38</v>
      </c>
      <c r="F128">
        <v>232</v>
      </c>
    </row>
    <row r="129" spans="1:6">
      <c r="A129" t="s">
        <v>6</v>
      </c>
      <c r="B129" t="s">
        <v>12</v>
      </c>
      <c r="C129" t="s">
        <v>19</v>
      </c>
      <c r="D129" s="1">
        <v>44749</v>
      </c>
      <c r="E129" s="6">
        <v>16619.54</v>
      </c>
      <c r="F129">
        <v>425</v>
      </c>
    </row>
    <row r="130" spans="1:6">
      <c r="A130" t="s">
        <v>6</v>
      </c>
      <c r="B130" t="s">
        <v>14</v>
      </c>
      <c r="C130" t="s">
        <v>25</v>
      </c>
      <c r="D130" s="1">
        <v>44722</v>
      </c>
      <c r="E130" s="6">
        <v>3214.37</v>
      </c>
      <c r="F130">
        <v>161</v>
      </c>
    </row>
    <row r="131" spans="1:6">
      <c r="A131" t="s">
        <v>34</v>
      </c>
      <c r="B131" t="s">
        <v>23</v>
      </c>
      <c r="C131" t="s">
        <v>29</v>
      </c>
      <c r="D131" s="1">
        <v>44786</v>
      </c>
      <c r="E131" s="6">
        <v>16037.03</v>
      </c>
      <c r="F131">
        <v>475</v>
      </c>
    </row>
    <row r="132" spans="1:6">
      <c r="A132" t="s">
        <v>6</v>
      </c>
      <c r="B132" t="s">
        <v>24</v>
      </c>
      <c r="C132" t="s">
        <v>33</v>
      </c>
      <c r="D132" s="1">
        <v>44650</v>
      </c>
      <c r="E132" s="6">
        <v>6455.88</v>
      </c>
      <c r="F132">
        <v>299</v>
      </c>
    </row>
    <row r="133" spans="1:6">
      <c r="A133" t="s">
        <v>20</v>
      </c>
      <c r="B133" t="s">
        <v>14</v>
      </c>
      <c r="C133" t="s">
        <v>36</v>
      </c>
      <c r="D133" s="1">
        <v>44635</v>
      </c>
      <c r="E133" s="6">
        <v>20659.54</v>
      </c>
      <c r="F133">
        <v>478</v>
      </c>
    </row>
    <row r="134" spans="1:6">
      <c r="A134" t="s">
        <v>22</v>
      </c>
      <c r="B134" t="s">
        <v>7</v>
      </c>
      <c r="C134" t="s">
        <v>31</v>
      </c>
      <c r="D134" s="1">
        <v>44670</v>
      </c>
      <c r="E134" s="6">
        <v>19030.11</v>
      </c>
      <c r="F134">
        <v>434</v>
      </c>
    </row>
    <row r="135" spans="1:6">
      <c r="A135" t="s">
        <v>21</v>
      </c>
      <c r="B135" t="s">
        <v>12</v>
      </c>
      <c r="C135" t="s">
        <v>27</v>
      </c>
      <c r="D135" s="1">
        <v>44688</v>
      </c>
      <c r="E135" s="6">
        <v>5042.6099999999997</v>
      </c>
      <c r="F135">
        <v>140</v>
      </c>
    </row>
    <row r="136" spans="1:6">
      <c r="A136" t="s">
        <v>16</v>
      </c>
      <c r="B136" t="s">
        <v>10</v>
      </c>
      <c r="C136" t="s">
        <v>36</v>
      </c>
      <c r="D136" s="1">
        <v>44603</v>
      </c>
      <c r="E136" s="6">
        <v>15274.46</v>
      </c>
      <c r="F136">
        <v>350</v>
      </c>
    </row>
    <row r="137" spans="1:6">
      <c r="A137" t="s">
        <v>34</v>
      </c>
      <c r="B137" t="s">
        <v>24</v>
      </c>
      <c r="C137" t="s">
        <v>33</v>
      </c>
      <c r="D137" s="1">
        <v>44636</v>
      </c>
      <c r="E137" s="6">
        <v>13934.58</v>
      </c>
      <c r="F137">
        <v>498</v>
      </c>
    </row>
    <row r="138" spans="1:6">
      <c r="A138" t="s">
        <v>6</v>
      </c>
      <c r="B138" t="s">
        <v>23</v>
      </c>
      <c r="C138" t="s">
        <v>36</v>
      </c>
      <c r="D138" s="1">
        <v>44786</v>
      </c>
      <c r="E138" s="6">
        <v>858.68</v>
      </c>
      <c r="F138">
        <v>73</v>
      </c>
    </row>
    <row r="139" spans="1:6">
      <c r="A139" t="s">
        <v>11</v>
      </c>
      <c r="B139" t="s">
        <v>12</v>
      </c>
      <c r="C139" t="s">
        <v>27</v>
      </c>
      <c r="D139" s="1">
        <v>44682</v>
      </c>
      <c r="E139" s="6">
        <v>10382.299999999999</v>
      </c>
      <c r="F139">
        <v>390</v>
      </c>
    </row>
    <row r="140" spans="1:6">
      <c r="A140" t="s">
        <v>22</v>
      </c>
      <c r="B140" t="s">
        <v>24</v>
      </c>
      <c r="C140" t="s">
        <v>27</v>
      </c>
      <c r="D140" s="1">
        <v>44588</v>
      </c>
      <c r="E140" s="6">
        <v>7825.06</v>
      </c>
      <c r="F140">
        <v>499</v>
      </c>
    </row>
    <row r="141" spans="1:6">
      <c r="A141" t="s">
        <v>34</v>
      </c>
      <c r="B141" t="s">
        <v>7</v>
      </c>
      <c r="C141" t="s">
        <v>35</v>
      </c>
      <c r="D141" s="1">
        <v>44700</v>
      </c>
      <c r="E141" s="6">
        <v>329</v>
      </c>
      <c r="F141">
        <v>16</v>
      </c>
    </row>
    <row r="142" spans="1:6">
      <c r="A142" t="s">
        <v>20</v>
      </c>
      <c r="B142" t="s">
        <v>23</v>
      </c>
      <c r="C142" t="s">
        <v>18</v>
      </c>
      <c r="D142" s="1">
        <v>44746</v>
      </c>
      <c r="E142" s="6">
        <v>7014.04</v>
      </c>
      <c r="F142">
        <v>191</v>
      </c>
    </row>
    <row r="143" spans="1:6">
      <c r="A143" t="s">
        <v>22</v>
      </c>
      <c r="B143" t="s">
        <v>12</v>
      </c>
      <c r="C143" t="s">
        <v>35</v>
      </c>
      <c r="D143" s="1">
        <v>44563</v>
      </c>
      <c r="E143" s="6">
        <v>9390.2800000000007</v>
      </c>
      <c r="F143">
        <v>433</v>
      </c>
    </row>
    <row r="144" spans="1:6">
      <c r="A144" t="s">
        <v>21</v>
      </c>
      <c r="B144" t="s">
        <v>14</v>
      </c>
      <c r="C144" t="s">
        <v>36</v>
      </c>
      <c r="D144" s="1">
        <v>44799</v>
      </c>
      <c r="E144" s="6">
        <v>3368.14</v>
      </c>
      <c r="F144">
        <v>279</v>
      </c>
    </row>
    <row r="145" spans="1:6">
      <c r="A145" t="s">
        <v>22</v>
      </c>
      <c r="B145" t="s">
        <v>23</v>
      </c>
      <c r="C145" t="s">
        <v>8</v>
      </c>
      <c r="D145" s="1">
        <v>44773</v>
      </c>
      <c r="E145" s="6">
        <v>2200.4</v>
      </c>
      <c r="F145">
        <v>152</v>
      </c>
    </row>
    <row r="146" spans="1:6">
      <c r="A146" t="s">
        <v>16</v>
      </c>
      <c r="B146" t="s">
        <v>14</v>
      </c>
      <c r="C146" t="s">
        <v>25</v>
      </c>
      <c r="D146" s="1">
        <v>44723</v>
      </c>
      <c r="E146" s="6">
        <v>381.6</v>
      </c>
      <c r="F146">
        <v>23</v>
      </c>
    </row>
    <row r="147" spans="1:6">
      <c r="A147" t="s">
        <v>6</v>
      </c>
      <c r="B147" t="s">
        <v>24</v>
      </c>
      <c r="C147" t="s">
        <v>13</v>
      </c>
      <c r="D147" s="1">
        <v>44618</v>
      </c>
      <c r="E147" s="6">
        <v>16452.13</v>
      </c>
      <c r="F147">
        <v>440</v>
      </c>
    </row>
    <row r="148" spans="1:6">
      <c r="A148" t="s">
        <v>21</v>
      </c>
      <c r="B148" t="s">
        <v>12</v>
      </c>
      <c r="C148" t="s">
        <v>17</v>
      </c>
      <c r="D148" s="1">
        <v>44744</v>
      </c>
      <c r="E148" s="6">
        <v>7364.22</v>
      </c>
      <c r="F148">
        <v>306</v>
      </c>
    </row>
    <row r="149" spans="1:6">
      <c r="A149" t="s">
        <v>22</v>
      </c>
      <c r="B149" t="s">
        <v>24</v>
      </c>
      <c r="C149" t="s">
        <v>25</v>
      </c>
      <c r="D149" s="1">
        <v>44713</v>
      </c>
      <c r="E149" s="6">
        <v>11031.64</v>
      </c>
      <c r="F149">
        <v>300</v>
      </c>
    </row>
    <row r="150" spans="1:6">
      <c r="A150" t="s">
        <v>9</v>
      </c>
      <c r="B150" t="s">
        <v>12</v>
      </c>
      <c r="C150" t="s">
        <v>29</v>
      </c>
      <c r="D150" s="1">
        <v>44616</v>
      </c>
      <c r="E150" s="6">
        <v>715.01</v>
      </c>
      <c r="F150">
        <v>37</v>
      </c>
    </row>
    <row r="151" spans="1:6">
      <c r="A151" t="s">
        <v>11</v>
      </c>
      <c r="B151" t="s">
        <v>7</v>
      </c>
      <c r="C151" t="s">
        <v>15</v>
      </c>
      <c r="D151" s="1">
        <v>44621</v>
      </c>
      <c r="E151" s="6">
        <v>5699.19</v>
      </c>
      <c r="F151">
        <v>197</v>
      </c>
    </row>
    <row r="152" spans="1:6">
      <c r="A152" t="s">
        <v>26</v>
      </c>
      <c r="B152" t="s">
        <v>12</v>
      </c>
      <c r="C152" t="s">
        <v>36</v>
      </c>
      <c r="D152" s="1">
        <v>44608</v>
      </c>
      <c r="E152" s="6">
        <v>7524.98</v>
      </c>
      <c r="F152">
        <v>189</v>
      </c>
    </row>
    <row r="153" spans="1:6">
      <c r="A153" t="s">
        <v>16</v>
      </c>
      <c r="B153" t="s">
        <v>23</v>
      </c>
      <c r="C153" t="s">
        <v>27</v>
      </c>
      <c r="D153" s="1">
        <v>44562</v>
      </c>
      <c r="E153" s="6">
        <v>10002.879999999999</v>
      </c>
      <c r="F153">
        <v>253</v>
      </c>
    </row>
    <row r="154" spans="1:6">
      <c r="A154" t="s">
        <v>28</v>
      </c>
      <c r="B154" t="s">
        <v>14</v>
      </c>
      <c r="C154" t="s">
        <v>27</v>
      </c>
      <c r="D154" s="1">
        <v>44710</v>
      </c>
      <c r="E154" s="6">
        <v>3812.45</v>
      </c>
      <c r="F154">
        <v>85</v>
      </c>
    </row>
    <row r="155" spans="1:6">
      <c r="A155" t="s">
        <v>6</v>
      </c>
      <c r="B155" t="s">
        <v>23</v>
      </c>
      <c r="C155" t="s">
        <v>33</v>
      </c>
      <c r="D155" s="1">
        <v>44776</v>
      </c>
      <c r="E155" s="6">
        <v>6717.5</v>
      </c>
      <c r="F155">
        <v>354</v>
      </c>
    </row>
    <row r="156" spans="1:6">
      <c r="A156" t="s">
        <v>11</v>
      </c>
      <c r="B156" t="s">
        <v>23</v>
      </c>
      <c r="C156" t="s">
        <v>19</v>
      </c>
      <c r="D156" s="1">
        <v>44690</v>
      </c>
      <c r="E156" s="6">
        <v>8326.18</v>
      </c>
      <c r="F156">
        <v>167</v>
      </c>
    </row>
    <row r="157" spans="1:6">
      <c r="A157" t="s">
        <v>20</v>
      </c>
      <c r="B157" t="s">
        <v>14</v>
      </c>
      <c r="C157" t="s">
        <v>15</v>
      </c>
      <c r="D157" s="1">
        <v>44592</v>
      </c>
      <c r="E157" s="6">
        <v>5177.5</v>
      </c>
      <c r="F157">
        <v>120</v>
      </c>
    </row>
    <row r="158" spans="1:6">
      <c r="A158" t="s">
        <v>26</v>
      </c>
      <c r="B158" t="s">
        <v>12</v>
      </c>
      <c r="C158" t="s">
        <v>13</v>
      </c>
      <c r="D158" s="1">
        <v>44744</v>
      </c>
      <c r="E158" s="6">
        <v>12188.95</v>
      </c>
      <c r="F158">
        <v>362</v>
      </c>
    </row>
    <row r="159" spans="1:6">
      <c r="A159" t="s">
        <v>22</v>
      </c>
      <c r="B159" t="s">
        <v>12</v>
      </c>
      <c r="C159" t="s">
        <v>27</v>
      </c>
      <c r="D159" s="1">
        <v>44765</v>
      </c>
      <c r="E159" s="6">
        <v>1225.4100000000001</v>
      </c>
      <c r="F159">
        <v>80</v>
      </c>
    </row>
    <row r="160" spans="1:6">
      <c r="A160" t="s">
        <v>28</v>
      </c>
      <c r="B160" t="s">
        <v>10</v>
      </c>
      <c r="C160" t="s">
        <v>19</v>
      </c>
      <c r="D160" s="1">
        <v>44679</v>
      </c>
      <c r="E160" s="6">
        <v>16191.56</v>
      </c>
      <c r="F160">
        <v>422</v>
      </c>
    </row>
    <row r="161" spans="1:6">
      <c r="A161" t="s">
        <v>22</v>
      </c>
      <c r="B161" t="s">
        <v>14</v>
      </c>
      <c r="C161" t="s">
        <v>17</v>
      </c>
      <c r="D161" s="1">
        <v>44682</v>
      </c>
      <c r="E161" s="6">
        <v>10095.379999999999</v>
      </c>
      <c r="F161">
        <v>364</v>
      </c>
    </row>
    <row r="162" spans="1:6">
      <c r="A162" t="s">
        <v>26</v>
      </c>
      <c r="B162" t="s">
        <v>24</v>
      </c>
      <c r="C162" t="s">
        <v>17</v>
      </c>
      <c r="D162" s="1">
        <v>44644</v>
      </c>
      <c r="E162" s="6">
        <v>8901.98</v>
      </c>
      <c r="F162">
        <v>335</v>
      </c>
    </row>
    <row r="163" spans="1:6">
      <c r="A163" t="s">
        <v>9</v>
      </c>
      <c r="B163" t="s">
        <v>12</v>
      </c>
      <c r="C163" t="s">
        <v>31</v>
      </c>
      <c r="D163" s="1">
        <v>44793</v>
      </c>
      <c r="E163" s="6">
        <v>1761.2</v>
      </c>
      <c r="F163">
        <v>138</v>
      </c>
    </row>
    <row r="164" spans="1:6">
      <c r="A164" t="s">
        <v>26</v>
      </c>
      <c r="B164" t="s">
        <v>10</v>
      </c>
      <c r="C164" t="s">
        <v>18</v>
      </c>
      <c r="D164" s="1">
        <v>44683</v>
      </c>
      <c r="E164" s="6">
        <v>15189.5</v>
      </c>
      <c r="F164">
        <v>308</v>
      </c>
    </row>
    <row r="165" spans="1:6">
      <c r="A165" t="s">
        <v>11</v>
      </c>
      <c r="B165" t="s">
        <v>24</v>
      </c>
      <c r="C165" t="s">
        <v>35</v>
      </c>
      <c r="D165" s="1">
        <v>44588</v>
      </c>
      <c r="E165" s="6">
        <v>7077.02</v>
      </c>
      <c r="F165">
        <v>189</v>
      </c>
    </row>
    <row r="166" spans="1:6">
      <c r="A166" t="s">
        <v>16</v>
      </c>
      <c r="B166" t="s">
        <v>23</v>
      </c>
      <c r="C166" t="s">
        <v>19</v>
      </c>
      <c r="D166" s="1">
        <v>44733</v>
      </c>
      <c r="E166" s="6">
        <v>16495.37</v>
      </c>
      <c r="F166">
        <v>424</v>
      </c>
    </row>
    <row r="167" spans="1:6">
      <c r="A167" t="s">
        <v>21</v>
      </c>
      <c r="B167" t="s">
        <v>10</v>
      </c>
      <c r="C167" t="s">
        <v>29</v>
      </c>
      <c r="D167" s="1">
        <v>44619</v>
      </c>
      <c r="E167" s="6">
        <v>6530.73</v>
      </c>
      <c r="F167">
        <v>215</v>
      </c>
    </row>
    <row r="168" spans="1:6">
      <c r="A168" t="s">
        <v>21</v>
      </c>
      <c r="B168" t="s">
        <v>23</v>
      </c>
      <c r="C168" t="s">
        <v>31</v>
      </c>
      <c r="D168" s="1">
        <v>44717</v>
      </c>
      <c r="E168" s="6">
        <v>12915.63</v>
      </c>
      <c r="F168">
        <v>388</v>
      </c>
    </row>
    <row r="169" spans="1:6">
      <c r="A169" t="s">
        <v>20</v>
      </c>
      <c r="B169" t="s">
        <v>7</v>
      </c>
      <c r="C169" t="s">
        <v>32</v>
      </c>
      <c r="D169" s="1">
        <v>44779</v>
      </c>
      <c r="E169" s="6">
        <v>16425.05</v>
      </c>
      <c r="F169">
        <v>375</v>
      </c>
    </row>
    <row r="170" spans="1:6">
      <c r="A170" t="s">
        <v>22</v>
      </c>
      <c r="B170" t="s">
        <v>23</v>
      </c>
      <c r="C170" t="s">
        <v>27</v>
      </c>
      <c r="D170" s="1">
        <v>44724</v>
      </c>
      <c r="E170" s="6">
        <v>6775</v>
      </c>
      <c r="F170">
        <v>352</v>
      </c>
    </row>
    <row r="171" spans="1:6">
      <c r="A171" t="s">
        <v>6</v>
      </c>
      <c r="B171" t="s">
        <v>7</v>
      </c>
      <c r="C171" t="s">
        <v>17</v>
      </c>
      <c r="D171" s="1">
        <v>44644</v>
      </c>
      <c r="E171" s="6">
        <v>4553.78</v>
      </c>
      <c r="F171">
        <v>237</v>
      </c>
    </row>
    <row r="172" spans="1:6">
      <c r="A172" t="s">
        <v>28</v>
      </c>
      <c r="B172" t="s">
        <v>24</v>
      </c>
      <c r="C172" t="s">
        <v>35</v>
      </c>
      <c r="D172" s="1">
        <v>44668</v>
      </c>
      <c r="E172" s="6">
        <v>20895.189999999999</v>
      </c>
      <c r="F172">
        <v>482</v>
      </c>
    </row>
    <row r="173" spans="1:6">
      <c r="A173" t="s">
        <v>16</v>
      </c>
      <c r="B173" t="s">
        <v>10</v>
      </c>
      <c r="C173" t="s">
        <v>32</v>
      </c>
      <c r="D173" s="1">
        <v>44758</v>
      </c>
      <c r="E173" s="6">
        <v>14822.36</v>
      </c>
      <c r="F173">
        <v>318</v>
      </c>
    </row>
    <row r="174" spans="1:6">
      <c r="A174" t="s">
        <v>9</v>
      </c>
      <c r="B174" t="s">
        <v>14</v>
      </c>
      <c r="C174" t="s">
        <v>18</v>
      </c>
      <c r="D174" s="1">
        <v>44647</v>
      </c>
      <c r="E174" s="6">
        <v>3428.81</v>
      </c>
      <c r="F174">
        <v>225</v>
      </c>
    </row>
    <row r="175" spans="1:6">
      <c r="A175" t="s">
        <v>34</v>
      </c>
      <c r="B175" t="s">
        <v>24</v>
      </c>
      <c r="C175" t="s">
        <v>32</v>
      </c>
      <c r="D175" s="1">
        <v>44722</v>
      </c>
      <c r="E175" s="6">
        <v>2925.47</v>
      </c>
      <c r="F175">
        <v>224</v>
      </c>
    </row>
    <row r="176" spans="1:6">
      <c r="A176" t="s">
        <v>6</v>
      </c>
      <c r="B176" t="s">
        <v>7</v>
      </c>
      <c r="C176" t="s">
        <v>19</v>
      </c>
      <c r="D176" s="1">
        <v>44571</v>
      </c>
      <c r="E176" s="6">
        <v>19444.09</v>
      </c>
      <c r="F176">
        <v>452</v>
      </c>
    </row>
    <row r="177" spans="1:6">
      <c r="A177" t="s">
        <v>9</v>
      </c>
      <c r="B177" t="s">
        <v>10</v>
      </c>
      <c r="C177" t="s">
        <v>27</v>
      </c>
      <c r="D177" s="1">
        <v>44629</v>
      </c>
      <c r="E177" s="6">
        <v>8591.2000000000007</v>
      </c>
      <c r="F177">
        <v>176</v>
      </c>
    </row>
    <row r="178" spans="1:6">
      <c r="A178" t="s">
        <v>6</v>
      </c>
      <c r="B178" t="s">
        <v>10</v>
      </c>
      <c r="C178" t="s">
        <v>13</v>
      </c>
      <c r="D178" s="1">
        <v>44681</v>
      </c>
      <c r="E178" s="6">
        <v>2289.16</v>
      </c>
      <c r="F178">
        <v>167</v>
      </c>
    </row>
    <row r="179" spans="1:6">
      <c r="A179" t="s">
        <v>11</v>
      </c>
      <c r="B179" t="s">
        <v>10</v>
      </c>
      <c r="C179" t="s">
        <v>32</v>
      </c>
      <c r="D179" s="1">
        <v>44713</v>
      </c>
      <c r="E179" s="6">
        <v>6384.11</v>
      </c>
      <c r="F179">
        <v>265</v>
      </c>
    </row>
    <row r="180" spans="1:6">
      <c r="A180" t="s">
        <v>6</v>
      </c>
      <c r="B180" t="s">
        <v>24</v>
      </c>
      <c r="C180" t="s">
        <v>32</v>
      </c>
      <c r="D180" s="1">
        <v>44571</v>
      </c>
      <c r="E180" s="6">
        <v>2747.98</v>
      </c>
      <c r="F180">
        <v>115</v>
      </c>
    </row>
    <row r="181" spans="1:6">
      <c r="A181" t="s">
        <v>28</v>
      </c>
      <c r="B181" t="s">
        <v>23</v>
      </c>
      <c r="C181" t="s">
        <v>8</v>
      </c>
      <c r="D181" s="1">
        <v>44678</v>
      </c>
      <c r="E181" s="6">
        <v>6324.87</v>
      </c>
      <c r="F181">
        <v>296</v>
      </c>
    </row>
    <row r="182" spans="1:6">
      <c r="A182" t="s">
        <v>28</v>
      </c>
      <c r="B182" t="s">
        <v>24</v>
      </c>
      <c r="C182" t="s">
        <v>35</v>
      </c>
      <c r="D182" s="1">
        <v>44580</v>
      </c>
      <c r="E182" s="6">
        <v>4592.38</v>
      </c>
      <c r="F182">
        <v>155</v>
      </c>
    </row>
    <row r="183" spans="1:6">
      <c r="A183" t="s">
        <v>22</v>
      </c>
      <c r="B183" t="s">
        <v>10</v>
      </c>
      <c r="C183" t="s">
        <v>19</v>
      </c>
      <c r="D183" s="1">
        <v>44710</v>
      </c>
      <c r="E183" s="6">
        <v>5016.53</v>
      </c>
      <c r="F183">
        <v>164</v>
      </c>
    </row>
    <row r="184" spans="1:6">
      <c r="A184" t="s">
        <v>9</v>
      </c>
      <c r="B184" t="s">
        <v>24</v>
      </c>
      <c r="C184" t="s">
        <v>35</v>
      </c>
      <c r="D184" s="1">
        <v>44639</v>
      </c>
      <c r="E184" s="6">
        <v>636.78</v>
      </c>
      <c r="F184">
        <v>43</v>
      </c>
    </row>
    <row r="185" spans="1:6">
      <c r="A185" t="s">
        <v>28</v>
      </c>
      <c r="B185" t="s">
        <v>12</v>
      </c>
      <c r="C185" t="s">
        <v>29</v>
      </c>
      <c r="D185" s="1">
        <v>44648</v>
      </c>
      <c r="E185" s="6">
        <v>2948.69</v>
      </c>
      <c r="F185">
        <v>189</v>
      </c>
    </row>
    <row r="186" spans="1:6">
      <c r="A186" t="s">
        <v>9</v>
      </c>
      <c r="B186" t="s">
        <v>7</v>
      </c>
      <c r="C186" t="s">
        <v>31</v>
      </c>
      <c r="D186" s="1">
        <v>44670</v>
      </c>
      <c r="E186" s="6">
        <v>19971.419999999998</v>
      </c>
      <c r="F186">
        <v>463</v>
      </c>
    </row>
    <row r="187" spans="1:6">
      <c r="A187" t="s">
        <v>26</v>
      </c>
      <c r="B187" t="s">
        <v>23</v>
      </c>
      <c r="C187" t="s">
        <v>15</v>
      </c>
      <c r="D187" s="1">
        <v>44730</v>
      </c>
      <c r="E187" s="6">
        <v>8218.19</v>
      </c>
      <c r="F187">
        <v>439</v>
      </c>
    </row>
    <row r="188" spans="1:6">
      <c r="A188" t="s">
        <v>9</v>
      </c>
      <c r="B188" t="s">
        <v>7</v>
      </c>
      <c r="C188" t="s">
        <v>30</v>
      </c>
      <c r="D188" s="1">
        <v>44763</v>
      </c>
      <c r="E188" s="6">
        <v>4964.03</v>
      </c>
      <c r="F188">
        <v>225</v>
      </c>
    </row>
    <row r="189" spans="1:6">
      <c r="A189" t="s">
        <v>9</v>
      </c>
      <c r="B189" t="s">
        <v>23</v>
      </c>
      <c r="C189" t="s">
        <v>19</v>
      </c>
      <c r="D189" s="1">
        <v>44613</v>
      </c>
      <c r="E189" s="6">
        <v>7881.92</v>
      </c>
      <c r="F189">
        <v>253</v>
      </c>
    </row>
    <row r="190" spans="1:6">
      <c r="A190" t="s">
        <v>20</v>
      </c>
      <c r="B190" t="s">
        <v>12</v>
      </c>
      <c r="C190" t="s">
        <v>15</v>
      </c>
      <c r="D190" s="1">
        <v>44801</v>
      </c>
      <c r="E190" s="6">
        <v>15267.53</v>
      </c>
      <c r="F190">
        <v>321</v>
      </c>
    </row>
    <row r="191" spans="1:6">
      <c r="A191" t="s">
        <v>20</v>
      </c>
      <c r="B191" t="s">
        <v>24</v>
      </c>
      <c r="C191" t="s">
        <v>27</v>
      </c>
      <c r="D191" s="1">
        <v>44653</v>
      </c>
      <c r="E191" s="6">
        <v>16343.94</v>
      </c>
      <c r="F191">
        <v>485</v>
      </c>
    </row>
    <row r="192" spans="1:6">
      <c r="A192" t="s">
        <v>16</v>
      </c>
      <c r="B192" t="s">
        <v>24</v>
      </c>
      <c r="C192" t="s">
        <v>30</v>
      </c>
      <c r="D192" s="1">
        <v>44567</v>
      </c>
      <c r="E192" s="6">
        <v>10904.55</v>
      </c>
      <c r="F192">
        <v>236</v>
      </c>
    </row>
    <row r="193" spans="1:6">
      <c r="A193" t="s">
        <v>9</v>
      </c>
      <c r="B193" t="s">
        <v>24</v>
      </c>
      <c r="C193" t="s">
        <v>31</v>
      </c>
      <c r="D193" s="1">
        <v>44758</v>
      </c>
      <c r="E193" s="6">
        <v>3205</v>
      </c>
      <c r="F193">
        <v>81</v>
      </c>
    </row>
    <row r="194" spans="1:6">
      <c r="A194" t="s">
        <v>22</v>
      </c>
      <c r="B194" t="s">
        <v>14</v>
      </c>
      <c r="C194" t="s">
        <v>31</v>
      </c>
      <c r="D194" s="1">
        <v>44579</v>
      </c>
      <c r="E194" s="6">
        <v>5771.22</v>
      </c>
      <c r="F194">
        <v>140</v>
      </c>
    </row>
    <row r="195" spans="1:6">
      <c r="A195" t="s">
        <v>34</v>
      </c>
      <c r="B195" t="s">
        <v>23</v>
      </c>
      <c r="C195" t="s">
        <v>33</v>
      </c>
      <c r="D195" s="1">
        <v>44644</v>
      </c>
      <c r="E195" s="6">
        <v>3977.2</v>
      </c>
      <c r="F195">
        <v>80</v>
      </c>
    </row>
    <row r="196" spans="1:6">
      <c r="A196" t="s">
        <v>21</v>
      </c>
      <c r="B196" t="s">
        <v>14</v>
      </c>
      <c r="C196" t="s">
        <v>15</v>
      </c>
      <c r="D196" s="1">
        <v>44613</v>
      </c>
      <c r="E196" s="6">
        <v>8919.5</v>
      </c>
      <c r="F196">
        <v>363</v>
      </c>
    </row>
    <row r="197" spans="1:6">
      <c r="A197" t="s">
        <v>34</v>
      </c>
      <c r="B197" t="s">
        <v>10</v>
      </c>
      <c r="C197" t="s">
        <v>29</v>
      </c>
      <c r="D197" s="1">
        <v>44657</v>
      </c>
      <c r="E197" s="6">
        <v>23284.44</v>
      </c>
      <c r="F197">
        <v>499</v>
      </c>
    </row>
    <row r="198" spans="1:6">
      <c r="A198" t="s">
        <v>20</v>
      </c>
      <c r="B198" t="s">
        <v>23</v>
      </c>
      <c r="C198" t="s">
        <v>25</v>
      </c>
      <c r="D198" s="1">
        <v>44678</v>
      </c>
      <c r="E198" s="6">
        <v>4260.4399999999996</v>
      </c>
      <c r="F198">
        <v>103</v>
      </c>
    </row>
    <row r="199" spans="1:6">
      <c r="A199" t="s">
        <v>26</v>
      </c>
      <c r="B199" t="s">
        <v>12</v>
      </c>
      <c r="C199" t="s">
        <v>18</v>
      </c>
      <c r="D199" s="1">
        <v>44634</v>
      </c>
      <c r="E199" s="6">
        <v>7570.61</v>
      </c>
      <c r="F199">
        <v>159</v>
      </c>
    </row>
    <row r="200" spans="1:6">
      <c r="A200" t="s">
        <v>9</v>
      </c>
      <c r="B200" t="s">
        <v>23</v>
      </c>
      <c r="C200" t="s">
        <v>13</v>
      </c>
      <c r="D200" s="1">
        <v>44651</v>
      </c>
      <c r="E200" s="6">
        <v>18742.38</v>
      </c>
      <c r="F200">
        <v>469</v>
      </c>
    </row>
    <row r="201" spans="1:6">
      <c r="A201" t="s">
        <v>34</v>
      </c>
      <c r="B201" t="s">
        <v>10</v>
      </c>
      <c r="C201" t="s">
        <v>35</v>
      </c>
      <c r="D201" s="1">
        <v>44749</v>
      </c>
      <c r="E201" s="6">
        <v>8787.7999999999993</v>
      </c>
      <c r="F201">
        <v>249</v>
      </c>
    </row>
    <row r="202" spans="1:6">
      <c r="A202" t="s">
        <v>6</v>
      </c>
      <c r="B202" t="s">
        <v>14</v>
      </c>
      <c r="C202" t="s">
        <v>31</v>
      </c>
      <c r="D202" s="1">
        <v>44743</v>
      </c>
      <c r="E202" s="6">
        <v>16253.66</v>
      </c>
      <c r="F202">
        <v>423</v>
      </c>
    </row>
    <row r="203" spans="1:6">
      <c r="A203" t="s">
        <v>6</v>
      </c>
      <c r="B203" t="s">
        <v>12</v>
      </c>
      <c r="C203" t="s">
        <v>8</v>
      </c>
      <c r="D203" s="1">
        <v>44687</v>
      </c>
      <c r="E203" s="6">
        <v>10789.63</v>
      </c>
      <c r="F203">
        <v>436</v>
      </c>
    </row>
    <row r="204" spans="1:6">
      <c r="A204" t="s">
        <v>22</v>
      </c>
      <c r="B204" t="s">
        <v>7</v>
      </c>
      <c r="C204" t="s">
        <v>31</v>
      </c>
      <c r="D204" s="1">
        <v>44640</v>
      </c>
      <c r="E204" s="6">
        <v>841.52</v>
      </c>
      <c r="F204">
        <v>27</v>
      </c>
    </row>
    <row r="205" spans="1:6">
      <c r="A205" t="s">
        <v>6</v>
      </c>
      <c r="B205" t="s">
        <v>10</v>
      </c>
      <c r="C205" t="s">
        <v>31</v>
      </c>
      <c r="D205" s="1">
        <v>44591</v>
      </c>
      <c r="E205" s="6">
        <v>5926.16</v>
      </c>
      <c r="F205">
        <v>152</v>
      </c>
    </row>
    <row r="206" spans="1:6">
      <c r="A206" t="s">
        <v>26</v>
      </c>
      <c r="B206" t="s">
        <v>23</v>
      </c>
      <c r="C206" t="s">
        <v>35</v>
      </c>
      <c r="D206" s="1">
        <v>44714</v>
      </c>
      <c r="E206" s="6">
        <v>7066.65</v>
      </c>
      <c r="F206">
        <v>221</v>
      </c>
    </row>
    <row r="207" spans="1:6">
      <c r="A207" t="s">
        <v>22</v>
      </c>
      <c r="B207" t="s">
        <v>14</v>
      </c>
      <c r="C207" t="s">
        <v>13</v>
      </c>
      <c r="D207" s="1">
        <v>44652</v>
      </c>
      <c r="E207" s="6">
        <v>11533.13</v>
      </c>
      <c r="F207">
        <v>427</v>
      </c>
    </row>
    <row r="208" spans="1:6">
      <c r="A208" t="s">
        <v>26</v>
      </c>
      <c r="B208" t="s">
        <v>23</v>
      </c>
      <c r="C208" t="s">
        <v>19</v>
      </c>
      <c r="D208" s="1">
        <v>44722</v>
      </c>
      <c r="E208" s="6">
        <v>6390.52</v>
      </c>
      <c r="F208">
        <v>146</v>
      </c>
    </row>
    <row r="209" spans="1:6">
      <c r="A209" t="s">
        <v>16</v>
      </c>
      <c r="B209" t="s">
        <v>24</v>
      </c>
      <c r="C209" t="s">
        <v>25</v>
      </c>
      <c r="D209" s="1">
        <v>44721</v>
      </c>
      <c r="E209" s="6">
        <v>444.44</v>
      </c>
      <c r="F209">
        <v>15</v>
      </c>
    </row>
    <row r="210" spans="1:6">
      <c r="A210" t="s">
        <v>26</v>
      </c>
      <c r="B210" t="s">
        <v>14</v>
      </c>
      <c r="C210" t="s">
        <v>36</v>
      </c>
      <c r="D210" s="1">
        <v>44727</v>
      </c>
      <c r="E210" s="6">
        <v>7220.46</v>
      </c>
      <c r="F210">
        <v>171</v>
      </c>
    </row>
    <row r="211" spans="1:6">
      <c r="A211" t="s">
        <v>21</v>
      </c>
      <c r="B211" t="s">
        <v>7</v>
      </c>
      <c r="C211" t="s">
        <v>36</v>
      </c>
      <c r="D211" s="1">
        <v>44616</v>
      </c>
      <c r="E211" s="6">
        <v>3490.94</v>
      </c>
      <c r="F211">
        <v>120</v>
      </c>
    </row>
    <row r="212" spans="1:6">
      <c r="A212" t="s">
        <v>34</v>
      </c>
      <c r="B212" t="s">
        <v>7</v>
      </c>
      <c r="C212" t="s">
        <v>19</v>
      </c>
      <c r="D212" s="1">
        <v>44785</v>
      </c>
      <c r="E212" s="6">
        <v>7408.06</v>
      </c>
      <c r="F212">
        <v>168</v>
      </c>
    </row>
    <row r="213" spans="1:6">
      <c r="A213" t="s">
        <v>21</v>
      </c>
      <c r="B213" t="s">
        <v>7</v>
      </c>
      <c r="C213" t="s">
        <v>18</v>
      </c>
      <c r="D213" s="1">
        <v>44773</v>
      </c>
      <c r="E213" s="6">
        <v>4111.71</v>
      </c>
      <c r="F213">
        <v>175</v>
      </c>
    </row>
    <row r="214" spans="1:6">
      <c r="A214" t="s">
        <v>11</v>
      </c>
      <c r="B214" t="s">
        <v>12</v>
      </c>
      <c r="C214" t="s">
        <v>19</v>
      </c>
      <c r="D214" s="1">
        <v>44648</v>
      </c>
      <c r="E214" s="6">
        <v>3823.54</v>
      </c>
      <c r="F214">
        <v>269</v>
      </c>
    </row>
    <row r="215" spans="1:6">
      <c r="A215" t="s">
        <v>34</v>
      </c>
      <c r="B215" t="s">
        <v>23</v>
      </c>
      <c r="C215" t="s">
        <v>17</v>
      </c>
      <c r="D215" s="1">
        <v>44748</v>
      </c>
      <c r="E215" s="6">
        <v>4542.8599999999997</v>
      </c>
      <c r="F215">
        <v>186</v>
      </c>
    </row>
    <row r="216" spans="1:6">
      <c r="A216" t="s">
        <v>21</v>
      </c>
      <c r="B216" t="s">
        <v>10</v>
      </c>
      <c r="C216" t="s">
        <v>32</v>
      </c>
      <c r="D216" s="1">
        <v>44680</v>
      </c>
      <c r="E216" s="6">
        <v>527.39</v>
      </c>
      <c r="F216">
        <v>11</v>
      </c>
    </row>
    <row r="217" spans="1:6">
      <c r="A217" t="s">
        <v>28</v>
      </c>
      <c r="B217" t="s">
        <v>24</v>
      </c>
      <c r="C217" t="s">
        <v>35</v>
      </c>
      <c r="D217" s="1">
        <v>44614</v>
      </c>
      <c r="E217" s="6">
        <v>4013.93</v>
      </c>
      <c r="F217">
        <v>124</v>
      </c>
    </row>
    <row r="218" spans="1:6">
      <c r="A218" t="s">
        <v>26</v>
      </c>
      <c r="B218" t="s">
        <v>23</v>
      </c>
      <c r="C218" t="s">
        <v>30</v>
      </c>
      <c r="D218" s="1">
        <v>44573</v>
      </c>
      <c r="E218" s="6">
        <v>593.94000000000005</v>
      </c>
      <c r="F218">
        <v>38</v>
      </c>
    </row>
    <row r="219" spans="1:6">
      <c r="A219" t="s">
        <v>9</v>
      </c>
      <c r="B219" t="s">
        <v>10</v>
      </c>
      <c r="C219" t="s">
        <v>36</v>
      </c>
      <c r="D219" s="1">
        <v>44569</v>
      </c>
      <c r="E219" s="6">
        <v>4318.42</v>
      </c>
      <c r="F219">
        <v>175</v>
      </c>
    </row>
    <row r="220" spans="1:6">
      <c r="A220" t="s">
        <v>16</v>
      </c>
      <c r="B220" t="s">
        <v>24</v>
      </c>
      <c r="C220" t="s">
        <v>15</v>
      </c>
      <c r="D220" s="1">
        <v>44696</v>
      </c>
      <c r="E220" s="6">
        <v>5293.89</v>
      </c>
      <c r="F220">
        <v>144</v>
      </c>
    </row>
    <row r="221" spans="1:6">
      <c r="A221" t="s">
        <v>21</v>
      </c>
      <c r="B221" t="s">
        <v>24</v>
      </c>
      <c r="C221" t="s">
        <v>31</v>
      </c>
      <c r="D221" s="1">
        <v>44585</v>
      </c>
      <c r="E221" s="6">
        <v>3165.41</v>
      </c>
      <c r="F221">
        <v>181</v>
      </c>
    </row>
    <row r="222" spans="1:6">
      <c r="A222" t="s">
        <v>9</v>
      </c>
      <c r="B222" t="s">
        <v>24</v>
      </c>
      <c r="C222" t="s">
        <v>8</v>
      </c>
      <c r="D222" s="1">
        <v>44675</v>
      </c>
      <c r="E222" s="6">
        <v>5212.22</v>
      </c>
      <c r="F222">
        <v>224</v>
      </c>
    </row>
    <row r="223" spans="1:6">
      <c r="A223" t="s">
        <v>11</v>
      </c>
      <c r="B223" t="s">
        <v>10</v>
      </c>
      <c r="C223" t="s">
        <v>19</v>
      </c>
      <c r="D223" s="1">
        <v>44724</v>
      </c>
      <c r="E223" s="6">
        <v>4320.88</v>
      </c>
      <c r="F223">
        <v>211</v>
      </c>
    </row>
    <row r="224" spans="1:6">
      <c r="A224" t="s">
        <v>11</v>
      </c>
      <c r="B224" t="s">
        <v>10</v>
      </c>
      <c r="C224" t="s">
        <v>35</v>
      </c>
      <c r="D224" s="1">
        <v>44800</v>
      </c>
      <c r="E224" s="6">
        <v>434.03</v>
      </c>
      <c r="F224">
        <v>16</v>
      </c>
    </row>
    <row r="225" spans="1:6">
      <c r="A225" t="s">
        <v>26</v>
      </c>
      <c r="B225" t="s">
        <v>24</v>
      </c>
      <c r="C225" t="s">
        <v>18</v>
      </c>
      <c r="D225" s="1">
        <v>44614</v>
      </c>
      <c r="E225" s="6">
        <v>15708.48</v>
      </c>
      <c r="F225">
        <v>486</v>
      </c>
    </row>
    <row r="226" spans="1:6">
      <c r="A226" t="s">
        <v>21</v>
      </c>
      <c r="B226" t="s">
        <v>14</v>
      </c>
      <c r="C226" t="s">
        <v>27</v>
      </c>
      <c r="D226" s="1">
        <v>44707</v>
      </c>
      <c r="E226" s="6">
        <v>411.5</v>
      </c>
      <c r="F226">
        <v>16</v>
      </c>
    </row>
    <row r="227" spans="1:6">
      <c r="A227" t="s">
        <v>28</v>
      </c>
      <c r="B227" t="s">
        <v>23</v>
      </c>
      <c r="C227" t="s">
        <v>25</v>
      </c>
      <c r="D227" s="1">
        <v>44772</v>
      </c>
      <c r="E227" s="6">
        <v>2124.81</v>
      </c>
      <c r="F227">
        <v>101</v>
      </c>
    </row>
    <row r="228" spans="1:6">
      <c r="A228" t="s">
        <v>21</v>
      </c>
      <c r="B228" t="s">
        <v>23</v>
      </c>
      <c r="C228" t="s">
        <v>29</v>
      </c>
      <c r="D228" s="1">
        <v>44573</v>
      </c>
      <c r="E228" s="6">
        <v>984.79</v>
      </c>
      <c r="F228">
        <v>32</v>
      </c>
    </row>
    <row r="229" spans="1:6">
      <c r="A229" t="s">
        <v>11</v>
      </c>
      <c r="B229" t="s">
        <v>14</v>
      </c>
      <c r="C229" t="s">
        <v>32</v>
      </c>
      <c r="D229" s="1">
        <v>44677</v>
      </c>
      <c r="E229" s="6">
        <v>13049.1</v>
      </c>
      <c r="F229">
        <v>327</v>
      </c>
    </row>
    <row r="230" spans="1:6">
      <c r="A230" t="s">
        <v>22</v>
      </c>
      <c r="B230" t="s">
        <v>12</v>
      </c>
      <c r="C230" t="s">
        <v>13</v>
      </c>
      <c r="D230" s="1">
        <v>44741</v>
      </c>
      <c r="E230" s="6">
        <v>956.42</v>
      </c>
      <c r="F230">
        <v>21</v>
      </c>
    </row>
    <row r="231" spans="1:6">
      <c r="A231" t="s">
        <v>11</v>
      </c>
      <c r="B231" t="s">
        <v>14</v>
      </c>
      <c r="C231" t="s">
        <v>36</v>
      </c>
      <c r="D231" s="1">
        <v>44666</v>
      </c>
      <c r="E231" s="6">
        <v>5712.21</v>
      </c>
      <c r="F231">
        <v>337</v>
      </c>
    </row>
    <row r="232" spans="1:6">
      <c r="A232" t="s">
        <v>20</v>
      </c>
      <c r="B232" t="s">
        <v>12</v>
      </c>
      <c r="C232" t="s">
        <v>30</v>
      </c>
      <c r="D232" s="1">
        <v>44679</v>
      </c>
      <c r="E232" s="6">
        <v>6985.76</v>
      </c>
      <c r="F232">
        <v>410</v>
      </c>
    </row>
    <row r="233" spans="1:6">
      <c r="A233" t="s">
        <v>9</v>
      </c>
      <c r="B233" t="s">
        <v>24</v>
      </c>
      <c r="C233" t="s">
        <v>30</v>
      </c>
      <c r="D233" s="1">
        <v>44783</v>
      </c>
      <c r="E233" s="6">
        <v>10122.81</v>
      </c>
      <c r="F233">
        <v>236</v>
      </c>
    </row>
    <row r="234" spans="1:6">
      <c r="A234" t="s">
        <v>22</v>
      </c>
      <c r="B234" t="s">
        <v>24</v>
      </c>
      <c r="C234" t="s">
        <v>17</v>
      </c>
      <c r="D234" s="1">
        <v>44583</v>
      </c>
      <c r="E234" s="6">
        <v>4746.8599999999997</v>
      </c>
      <c r="F234">
        <v>321</v>
      </c>
    </row>
    <row r="235" spans="1:6">
      <c r="A235" t="s">
        <v>26</v>
      </c>
      <c r="B235" t="s">
        <v>10</v>
      </c>
      <c r="C235" t="s">
        <v>32</v>
      </c>
      <c r="D235" s="1">
        <v>44639</v>
      </c>
      <c r="E235" s="6">
        <v>365.6</v>
      </c>
      <c r="F235">
        <v>18</v>
      </c>
    </row>
    <row r="236" spans="1:6">
      <c r="A236" t="s">
        <v>16</v>
      </c>
      <c r="B236" t="s">
        <v>14</v>
      </c>
      <c r="C236" t="s">
        <v>25</v>
      </c>
      <c r="D236" s="1">
        <v>44788</v>
      </c>
      <c r="E236" s="6">
        <v>9791.02</v>
      </c>
      <c r="F236">
        <v>385</v>
      </c>
    </row>
    <row r="237" spans="1:6">
      <c r="A237" t="s">
        <v>6</v>
      </c>
      <c r="B237" t="s">
        <v>24</v>
      </c>
      <c r="C237" t="s">
        <v>29</v>
      </c>
      <c r="D237" s="1">
        <v>44584</v>
      </c>
      <c r="E237" s="6">
        <v>6966.13</v>
      </c>
      <c r="F237">
        <v>364</v>
      </c>
    </row>
    <row r="238" spans="1:6">
      <c r="A238" t="s">
        <v>21</v>
      </c>
      <c r="B238" t="s">
        <v>24</v>
      </c>
      <c r="C238" t="s">
        <v>19</v>
      </c>
      <c r="D238" s="1">
        <v>44581</v>
      </c>
      <c r="E238" s="6">
        <v>14282.35</v>
      </c>
      <c r="F238">
        <v>458</v>
      </c>
    </row>
    <row r="239" spans="1:6">
      <c r="A239" t="s">
        <v>20</v>
      </c>
      <c r="B239" t="s">
        <v>7</v>
      </c>
      <c r="C239" t="s">
        <v>29</v>
      </c>
      <c r="D239" s="1">
        <v>44797</v>
      </c>
      <c r="E239" s="6">
        <v>2735.77</v>
      </c>
      <c r="F239">
        <v>73</v>
      </c>
    </row>
    <row r="240" spans="1:6">
      <c r="A240" t="s">
        <v>9</v>
      </c>
      <c r="B240" t="s">
        <v>7</v>
      </c>
      <c r="C240" t="s">
        <v>32</v>
      </c>
      <c r="D240" s="1">
        <v>44609</v>
      </c>
      <c r="E240" s="6">
        <v>5503.98</v>
      </c>
      <c r="F240">
        <v>338</v>
      </c>
    </row>
    <row r="241" spans="1:6">
      <c r="A241" t="s">
        <v>11</v>
      </c>
      <c r="B241" t="s">
        <v>10</v>
      </c>
      <c r="C241" t="s">
        <v>32</v>
      </c>
      <c r="D241" s="1">
        <v>44685</v>
      </c>
      <c r="E241" s="6">
        <v>10872.5</v>
      </c>
      <c r="F241">
        <v>351</v>
      </c>
    </row>
    <row r="242" spans="1:6">
      <c r="A242" t="s">
        <v>11</v>
      </c>
      <c r="B242" t="s">
        <v>23</v>
      </c>
      <c r="C242" t="s">
        <v>8</v>
      </c>
      <c r="D242" s="1">
        <v>44567</v>
      </c>
      <c r="E242" s="6">
        <v>4158.5</v>
      </c>
      <c r="F242">
        <v>286</v>
      </c>
    </row>
    <row r="243" spans="1:6">
      <c r="A243" t="s">
        <v>9</v>
      </c>
      <c r="B243" t="s">
        <v>23</v>
      </c>
      <c r="C243" t="s">
        <v>27</v>
      </c>
      <c r="D243" s="1">
        <v>44666</v>
      </c>
      <c r="E243" s="6">
        <v>23977.48</v>
      </c>
      <c r="F243">
        <v>481</v>
      </c>
    </row>
    <row r="244" spans="1:6">
      <c r="A244" t="s">
        <v>28</v>
      </c>
      <c r="B244" t="s">
        <v>14</v>
      </c>
      <c r="C244" t="s">
        <v>33</v>
      </c>
      <c r="D244" s="1">
        <v>44798</v>
      </c>
      <c r="E244" s="6">
        <v>5031.0600000000004</v>
      </c>
      <c r="F244">
        <v>161</v>
      </c>
    </row>
    <row r="245" spans="1:6">
      <c r="A245" t="s">
        <v>21</v>
      </c>
      <c r="B245" t="s">
        <v>7</v>
      </c>
      <c r="C245" t="s">
        <v>29</v>
      </c>
      <c r="D245" s="1">
        <v>44712</v>
      </c>
      <c r="E245" s="6">
        <v>7460.34</v>
      </c>
      <c r="F245">
        <v>356</v>
      </c>
    </row>
    <row r="246" spans="1:6">
      <c r="A246" t="s">
        <v>9</v>
      </c>
      <c r="B246" t="s">
        <v>24</v>
      </c>
      <c r="C246" t="s">
        <v>30</v>
      </c>
      <c r="D246" s="1">
        <v>44750</v>
      </c>
      <c r="E246" s="6">
        <v>6613.2</v>
      </c>
      <c r="F246">
        <v>186</v>
      </c>
    </row>
    <row r="247" spans="1:6">
      <c r="A247" t="s">
        <v>9</v>
      </c>
      <c r="B247" t="s">
        <v>14</v>
      </c>
      <c r="C247" t="s">
        <v>17</v>
      </c>
      <c r="D247" s="1">
        <v>44681</v>
      </c>
      <c r="E247" s="6">
        <v>708.87</v>
      </c>
      <c r="F247">
        <v>36</v>
      </c>
    </row>
    <row r="248" spans="1:6">
      <c r="A248" t="s">
        <v>20</v>
      </c>
      <c r="B248" t="s">
        <v>14</v>
      </c>
      <c r="C248" t="s">
        <v>32</v>
      </c>
      <c r="D248" s="1">
        <v>44728</v>
      </c>
      <c r="E248" s="6">
        <v>10445.39</v>
      </c>
      <c r="F248">
        <v>306</v>
      </c>
    </row>
    <row r="249" spans="1:6">
      <c r="A249" t="s">
        <v>16</v>
      </c>
      <c r="B249" t="s">
        <v>23</v>
      </c>
      <c r="C249" t="s">
        <v>29</v>
      </c>
      <c r="D249" s="1">
        <v>44662</v>
      </c>
      <c r="E249" s="6">
        <v>5797.63</v>
      </c>
      <c r="F249">
        <v>254</v>
      </c>
    </row>
    <row r="250" spans="1:6">
      <c r="A250" t="s">
        <v>16</v>
      </c>
      <c r="B250" t="s">
        <v>12</v>
      </c>
      <c r="C250" t="s">
        <v>35</v>
      </c>
      <c r="D250" s="1">
        <v>44639</v>
      </c>
      <c r="E250" s="6">
        <v>10473.969999999999</v>
      </c>
      <c r="F250">
        <v>441</v>
      </c>
    </row>
    <row r="251" spans="1:6">
      <c r="A251" t="s">
        <v>20</v>
      </c>
      <c r="B251" t="s">
        <v>7</v>
      </c>
      <c r="C251" t="s">
        <v>27</v>
      </c>
      <c r="D251" s="1">
        <v>44757</v>
      </c>
      <c r="E251" s="6">
        <v>1372.66</v>
      </c>
      <c r="F251">
        <v>33</v>
      </c>
    </row>
    <row r="252" spans="1:6">
      <c r="A252" t="s">
        <v>20</v>
      </c>
      <c r="B252" t="s">
        <v>14</v>
      </c>
      <c r="C252" t="s">
        <v>36</v>
      </c>
      <c r="D252" s="1">
        <v>44623</v>
      </c>
      <c r="E252" s="6">
        <v>11414.54</v>
      </c>
      <c r="F252">
        <v>333</v>
      </c>
    </row>
    <row r="253" spans="1:6">
      <c r="A253" t="s">
        <v>21</v>
      </c>
      <c r="B253" t="s">
        <v>12</v>
      </c>
      <c r="C253" t="s">
        <v>29</v>
      </c>
      <c r="D253" s="1">
        <v>44697</v>
      </c>
      <c r="E253" s="6">
        <v>631.36</v>
      </c>
      <c r="F253">
        <v>41</v>
      </c>
    </row>
    <row r="254" spans="1:6">
      <c r="A254" t="s">
        <v>6</v>
      </c>
      <c r="B254" t="s">
        <v>23</v>
      </c>
      <c r="C254" t="s">
        <v>35</v>
      </c>
      <c r="D254" s="1">
        <v>44650</v>
      </c>
      <c r="E254" s="6">
        <v>6093.04</v>
      </c>
      <c r="F254">
        <v>357</v>
      </c>
    </row>
    <row r="255" spans="1:6">
      <c r="A255" t="s">
        <v>22</v>
      </c>
      <c r="B255" t="s">
        <v>23</v>
      </c>
      <c r="C255" t="s">
        <v>27</v>
      </c>
      <c r="D255" s="1">
        <v>44664</v>
      </c>
      <c r="E255" s="6">
        <v>3335.93</v>
      </c>
      <c r="F255">
        <v>270</v>
      </c>
    </row>
    <row r="256" spans="1:6">
      <c r="A256" t="s">
        <v>20</v>
      </c>
      <c r="B256" t="s">
        <v>24</v>
      </c>
      <c r="C256" t="s">
        <v>17</v>
      </c>
      <c r="D256" s="1">
        <v>44723</v>
      </c>
      <c r="E256" s="6">
        <v>15130.24</v>
      </c>
      <c r="F256">
        <v>384</v>
      </c>
    </row>
    <row r="257" spans="1:6">
      <c r="A257" t="s">
        <v>28</v>
      </c>
      <c r="B257" t="s">
        <v>23</v>
      </c>
      <c r="C257" t="s">
        <v>33</v>
      </c>
      <c r="D257" s="1">
        <v>44625</v>
      </c>
      <c r="E257" s="6">
        <v>3321.69</v>
      </c>
      <c r="F257">
        <v>145</v>
      </c>
    </row>
    <row r="258" spans="1:6">
      <c r="A258" t="s">
        <v>16</v>
      </c>
      <c r="B258" t="s">
        <v>14</v>
      </c>
      <c r="C258" t="s">
        <v>8</v>
      </c>
      <c r="D258" s="1">
        <v>44789</v>
      </c>
      <c r="E258" s="6">
        <v>2336.36</v>
      </c>
      <c r="F258">
        <v>119</v>
      </c>
    </row>
    <row r="259" spans="1:6">
      <c r="A259" t="s">
        <v>21</v>
      </c>
      <c r="B259" t="s">
        <v>24</v>
      </c>
      <c r="C259" t="s">
        <v>32</v>
      </c>
      <c r="D259" s="1">
        <v>44666</v>
      </c>
      <c r="E259" s="6">
        <v>19443.77</v>
      </c>
      <c r="F259">
        <v>420</v>
      </c>
    </row>
    <row r="260" spans="1:6">
      <c r="A260" t="s">
        <v>22</v>
      </c>
      <c r="B260" t="s">
        <v>7</v>
      </c>
      <c r="C260" t="s">
        <v>19</v>
      </c>
      <c r="D260" s="1">
        <v>44592</v>
      </c>
      <c r="E260" s="6">
        <v>4534.5</v>
      </c>
      <c r="F260">
        <v>161</v>
      </c>
    </row>
    <row r="261" spans="1:6">
      <c r="A261" t="s">
        <v>11</v>
      </c>
      <c r="B261" t="s">
        <v>10</v>
      </c>
      <c r="C261" t="s">
        <v>32</v>
      </c>
      <c r="D261" s="1">
        <v>44797</v>
      </c>
      <c r="E261" s="6">
        <v>1027.0999999999999</v>
      </c>
      <c r="F261">
        <v>69</v>
      </c>
    </row>
    <row r="262" spans="1:6">
      <c r="A262" t="s">
        <v>9</v>
      </c>
      <c r="B262" t="s">
        <v>12</v>
      </c>
      <c r="C262" t="s">
        <v>27</v>
      </c>
      <c r="D262" s="1">
        <v>44635</v>
      </c>
      <c r="E262" s="6">
        <v>2883</v>
      </c>
      <c r="F262">
        <v>66</v>
      </c>
    </row>
    <row r="263" spans="1:6">
      <c r="A263" t="s">
        <v>34</v>
      </c>
      <c r="B263" t="s">
        <v>14</v>
      </c>
      <c r="C263" t="s">
        <v>33</v>
      </c>
      <c r="D263" s="1">
        <v>44569</v>
      </c>
      <c r="E263" s="6">
        <v>2593.64</v>
      </c>
      <c r="F263">
        <v>66</v>
      </c>
    </row>
    <row r="264" spans="1:6">
      <c r="A264" t="s">
        <v>34</v>
      </c>
      <c r="B264" t="s">
        <v>10</v>
      </c>
      <c r="C264" t="s">
        <v>32</v>
      </c>
      <c r="D264" s="1">
        <v>44654</v>
      </c>
      <c r="E264" s="6">
        <v>5802.73</v>
      </c>
      <c r="F264">
        <v>433</v>
      </c>
    </row>
    <row r="265" spans="1:6">
      <c r="A265" t="s">
        <v>9</v>
      </c>
      <c r="B265" t="s">
        <v>23</v>
      </c>
      <c r="C265" t="s">
        <v>32</v>
      </c>
      <c r="D265" s="1">
        <v>44699</v>
      </c>
      <c r="E265" s="6">
        <v>11992.11</v>
      </c>
      <c r="F265">
        <v>257</v>
      </c>
    </row>
    <row r="266" spans="1:6">
      <c r="A266" t="s">
        <v>11</v>
      </c>
      <c r="B266" t="s">
        <v>24</v>
      </c>
      <c r="C266" t="s">
        <v>27</v>
      </c>
      <c r="D266" s="1">
        <v>44599</v>
      </c>
      <c r="E266" s="6">
        <v>352.92</v>
      </c>
      <c r="F266">
        <v>30</v>
      </c>
    </row>
    <row r="267" spans="1:6">
      <c r="A267" t="s">
        <v>26</v>
      </c>
      <c r="B267" t="s">
        <v>14</v>
      </c>
      <c r="C267" t="s">
        <v>19</v>
      </c>
      <c r="D267" s="1">
        <v>44709</v>
      </c>
      <c r="E267" s="6">
        <v>7024.11</v>
      </c>
      <c r="F267">
        <v>190</v>
      </c>
    </row>
    <row r="268" spans="1:6">
      <c r="A268" t="s">
        <v>16</v>
      </c>
      <c r="B268" t="s">
        <v>14</v>
      </c>
      <c r="C268" t="s">
        <v>27</v>
      </c>
      <c r="D268" s="1">
        <v>44712</v>
      </c>
      <c r="E268" s="6">
        <v>2884.52</v>
      </c>
      <c r="F268">
        <v>118</v>
      </c>
    </row>
    <row r="269" spans="1:6">
      <c r="A269" t="s">
        <v>11</v>
      </c>
      <c r="B269" t="s">
        <v>24</v>
      </c>
      <c r="C269" t="s">
        <v>25</v>
      </c>
      <c r="D269" s="1">
        <v>44738</v>
      </c>
      <c r="E269" s="6">
        <v>5022.76</v>
      </c>
      <c r="F269">
        <v>154</v>
      </c>
    </row>
    <row r="270" spans="1:6">
      <c r="A270" t="s">
        <v>11</v>
      </c>
      <c r="B270" t="s">
        <v>14</v>
      </c>
      <c r="C270" t="s">
        <v>17</v>
      </c>
      <c r="D270" s="1">
        <v>44791</v>
      </c>
      <c r="E270" s="6">
        <v>5250.58</v>
      </c>
      <c r="F270">
        <v>299</v>
      </c>
    </row>
    <row r="271" spans="1:6">
      <c r="A271" t="s">
        <v>9</v>
      </c>
      <c r="B271" t="s">
        <v>24</v>
      </c>
      <c r="C271" t="s">
        <v>30</v>
      </c>
      <c r="D271" s="1">
        <v>44690</v>
      </c>
      <c r="E271" s="6">
        <v>2584.15</v>
      </c>
      <c r="F271">
        <v>108</v>
      </c>
    </row>
    <row r="272" spans="1:6">
      <c r="A272" t="s">
        <v>34</v>
      </c>
      <c r="B272" t="s">
        <v>24</v>
      </c>
      <c r="C272" t="s">
        <v>29</v>
      </c>
      <c r="D272" s="1">
        <v>44755</v>
      </c>
      <c r="E272" s="6">
        <v>8581.27</v>
      </c>
      <c r="F272">
        <v>190</v>
      </c>
    </row>
    <row r="273" spans="1:6">
      <c r="A273" t="s">
        <v>16</v>
      </c>
      <c r="B273" t="s">
        <v>14</v>
      </c>
      <c r="C273" t="s">
        <v>17</v>
      </c>
      <c r="D273" s="1">
        <v>44715</v>
      </c>
      <c r="E273" s="6">
        <v>559.73</v>
      </c>
      <c r="F273">
        <v>12</v>
      </c>
    </row>
    <row r="274" spans="1:6">
      <c r="A274" t="s">
        <v>22</v>
      </c>
      <c r="B274" t="s">
        <v>12</v>
      </c>
      <c r="C274" t="s">
        <v>25</v>
      </c>
      <c r="D274" s="1">
        <v>44719</v>
      </c>
      <c r="E274" s="6">
        <v>12905.06</v>
      </c>
      <c r="F274">
        <v>498</v>
      </c>
    </row>
    <row r="275" spans="1:6">
      <c r="A275" t="s">
        <v>16</v>
      </c>
      <c r="B275" t="s">
        <v>24</v>
      </c>
      <c r="C275" t="s">
        <v>27</v>
      </c>
      <c r="D275" s="1">
        <v>44736</v>
      </c>
      <c r="E275" s="6">
        <v>13509.42</v>
      </c>
      <c r="F275">
        <v>296</v>
      </c>
    </row>
    <row r="276" spans="1:6">
      <c r="A276" t="s">
        <v>11</v>
      </c>
      <c r="B276" t="s">
        <v>12</v>
      </c>
      <c r="C276" t="s">
        <v>15</v>
      </c>
      <c r="D276" s="1">
        <v>44710</v>
      </c>
      <c r="E276" s="6">
        <v>3116.98</v>
      </c>
      <c r="F276">
        <v>148</v>
      </c>
    </row>
    <row r="277" spans="1:6">
      <c r="A277" t="s">
        <v>20</v>
      </c>
      <c r="B277" t="s">
        <v>24</v>
      </c>
      <c r="C277" t="s">
        <v>35</v>
      </c>
      <c r="D277" s="1">
        <v>44717</v>
      </c>
      <c r="E277" s="6">
        <v>1123.46</v>
      </c>
      <c r="F277">
        <v>56</v>
      </c>
    </row>
    <row r="278" spans="1:6">
      <c r="A278" t="s">
        <v>9</v>
      </c>
      <c r="B278" t="s">
        <v>24</v>
      </c>
      <c r="C278" t="s">
        <v>30</v>
      </c>
      <c r="D278" s="1">
        <v>44650</v>
      </c>
      <c r="E278" s="6">
        <v>18188.8</v>
      </c>
      <c r="F278">
        <v>495</v>
      </c>
    </row>
    <row r="279" spans="1:6">
      <c r="A279" t="s">
        <v>34</v>
      </c>
      <c r="B279" t="s">
        <v>24</v>
      </c>
      <c r="C279" t="s">
        <v>18</v>
      </c>
      <c r="D279" s="1">
        <v>44586</v>
      </c>
      <c r="E279" s="6">
        <v>8484.94</v>
      </c>
      <c r="F279">
        <v>317</v>
      </c>
    </row>
    <row r="280" spans="1:6">
      <c r="A280" t="s">
        <v>16</v>
      </c>
      <c r="B280" t="s">
        <v>14</v>
      </c>
      <c r="C280" t="s">
        <v>8</v>
      </c>
      <c r="D280" s="1">
        <v>44764</v>
      </c>
      <c r="E280" s="6">
        <v>6693.75</v>
      </c>
      <c r="F280">
        <v>476</v>
      </c>
    </row>
    <row r="281" spans="1:6">
      <c r="A281" t="s">
        <v>21</v>
      </c>
      <c r="B281" t="s">
        <v>14</v>
      </c>
      <c r="C281" t="s">
        <v>13</v>
      </c>
      <c r="D281" s="1">
        <v>44739</v>
      </c>
      <c r="E281" s="6">
        <v>9682.74</v>
      </c>
      <c r="F281">
        <v>394</v>
      </c>
    </row>
    <row r="282" spans="1:6">
      <c r="A282" t="s">
        <v>20</v>
      </c>
      <c r="B282" t="s">
        <v>23</v>
      </c>
      <c r="C282" t="s">
        <v>35</v>
      </c>
      <c r="D282" s="1">
        <v>44580</v>
      </c>
      <c r="E282" s="6">
        <v>3241.7</v>
      </c>
      <c r="F282">
        <v>232</v>
      </c>
    </row>
    <row r="283" spans="1:6">
      <c r="A283" t="s">
        <v>28</v>
      </c>
      <c r="B283" t="s">
        <v>12</v>
      </c>
      <c r="C283" t="s">
        <v>19</v>
      </c>
      <c r="D283" s="1">
        <v>44649</v>
      </c>
      <c r="E283" s="6">
        <v>10885.26</v>
      </c>
      <c r="F283">
        <v>233</v>
      </c>
    </row>
    <row r="284" spans="1:6">
      <c r="A284" t="s">
        <v>22</v>
      </c>
      <c r="B284" t="s">
        <v>24</v>
      </c>
      <c r="C284" t="s">
        <v>35</v>
      </c>
      <c r="D284" s="1">
        <v>44736</v>
      </c>
      <c r="E284" s="6">
        <v>4934.32</v>
      </c>
      <c r="F284">
        <v>194</v>
      </c>
    </row>
    <row r="285" spans="1:6">
      <c r="A285" t="s">
        <v>9</v>
      </c>
      <c r="B285" t="s">
        <v>14</v>
      </c>
      <c r="C285" t="s">
        <v>35</v>
      </c>
      <c r="D285" s="1">
        <v>44644</v>
      </c>
      <c r="E285" s="6">
        <v>21726.67</v>
      </c>
      <c r="F285">
        <v>436</v>
      </c>
    </row>
    <row r="286" spans="1:6">
      <c r="A286" t="s">
        <v>9</v>
      </c>
      <c r="B286" t="s">
        <v>14</v>
      </c>
      <c r="C286" t="s">
        <v>13</v>
      </c>
      <c r="D286" s="1">
        <v>44669</v>
      </c>
      <c r="E286" s="6">
        <v>5873.54</v>
      </c>
      <c r="F286">
        <v>355</v>
      </c>
    </row>
    <row r="287" spans="1:6">
      <c r="A287" t="s">
        <v>11</v>
      </c>
      <c r="B287" t="s">
        <v>7</v>
      </c>
      <c r="C287" t="s">
        <v>15</v>
      </c>
      <c r="D287" s="1">
        <v>44752</v>
      </c>
      <c r="E287" s="6">
        <v>9561.31</v>
      </c>
      <c r="F287">
        <v>268</v>
      </c>
    </row>
    <row r="288" spans="1:6">
      <c r="A288" t="s">
        <v>11</v>
      </c>
      <c r="B288" t="s">
        <v>23</v>
      </c>
      <c r="C288" t="s">
        <v>33</v>
      </c>
      <c r="D288" s="1">
        <v>44618</v>
      </c>
      <c r="E288" s="6">
        <v>3463.01</v>
      </c>
      <c r="F288">
        <v>74</v>
      </c>
    </row>
    <row r="289" spans="1:6">
      <c r="A289" t="s">
        <v>20</v>
      </c>
      <c r="B289" t="s">
        <v>24</v>
      </c>
      <c r="C289" t="s">
        <v>33</v>
      </c>
      <c r="D289" s="1">
        <v>44735</v>
      </c>
      <c r="E289" s="6">
        <v>136.05000000000001</v>
      </c>
      <c r="F289">
        <v>11</v>
      </c>
    </row>
    <row r="290" spans="1:6">
      <c r="A290" t="s">
        <v>22</v>
      </c>
      <c r="B290" t="s">
        <v>23</v>
      </c>
      <c r="C290" t="s">
        <v>17</v>
      </c>
      <c r="D290" s="1">
        <v>44702</v>
      </c>
      <c r="E290" s="6">
        <v>3525.11</v>
      </c>
      <c r="F290">
        <v>215</v>
      </c>
    </row>
    <row r="291" spans="1:6">
      <c r="A291" t="s">
        <v>22</v>
      </c>
      <c r="B291" t="s">
        <v>23</v>
      </c>
      <c r="C291" t="s">
        <v>33</v>
      </c>
      <c r="D291" s="1">
        <v>44659</v>
      </c>
      <c r="E291" s="6">
        <v>4819.1499999999996</v>
      </c>
      <c r="F291">
        <v>332</v>
      </c>
    </row>
    <row r="292" spans="1:6">
      <c r="A292" t="s">
        <v>28</v>
      </c>
      <c r="B292" t="s">
        <v>7</v>
      </c>
      <c r="C292" t="s">
        <v>30</v>
      </c>
      <c r="D292" s="1">
        <v>44794</v>
      </c>
      <c r="E292" s="6">
        <v>5661.96</v>
      </c>
      <c r="F292">
        <v>136</v>
      </c>
    </row>
    <row r="293" spans="1:6">
      <c r="A293" t="s">
        <v>20</v>
      </c>
      <c r="B293" t="s">
        <v>23</v>
      </c>
      <c r="C293" t="s">
        <v>29</v>
      </c>
      <c r="D293" s="1">
        <v>44589</v>
      </c>
      <c r="E293" s="6">
        <v>980.84</v>
      </c>
      <c r="F293">
        <v>39</v>
      </c>
    </row>
    <row r="294" spans="1:6">
      <c r="A294" t="s">
        <v>6</v>
      </c>
      <c r="B294" t="s">
        <v>23</v>
      </c>
      <c r="C294" t="s">
        <v>33</v>
      </c>
      <c r="D294" s="1">
        <v>44778</v>
      </c>
      <c r="E294" s="6">
        <v>1430.77</v>
      </c>
      <c r="F294">
        <v>38</v>
      </c>
    </row>
    <row r="295" spans="1:6">
      <c r="A295" t="s">
        <v>21</v>
      </c>
      <c r="B295" t="s">
        <v>12</v>
      </c>
      <c r="C295" t="s">
        <v>30</v>
      </c>
      <c r="D295" s="1">
        <v>44769</v>
      </c>
      <c r="E295" s="6">
        <v>1178.22</v>
      </c>
      <c r="F295">
        <v>40</v>
      </c>
    </row>
    <row r="296" spans="1:6">
      <c r="A296" t="s">
        <v>6</v>
      </c>
      <c r="B296" t="s">
        <v>14</v>
      </c>
      <c r="C296" t="s">
        <v>13</v>
      </c>
      <c r="D296" s="1">
        <v>44610</v>
      </c>
      <c r="E296" s="6">
        <v>9645.48</v>
      </c>
      <c r="F296">
        <v>286</v>
      </c>
    </row>
    <row r="297" spans="1:6">
      <c r="A297" t="s">
        <v>34</v>
      </c>
      <c r="B297" t="s">
        <v>14</v>
      </c>
      <c r="C297" t="s">
        <v>32</v>
      </c>
      <c r="D297" s="1">
        <v>44603</v>
      </c>
      <c r="E297" s="6">
        <v>3703.09</v>
      </c>
      <c r="F297">
        <v>141</v>
      </c>
    </row>
    <row r="298" spans="1:6">
      <c r="A298" t="s">
        <v>26</v>
      </c>
      <c r="B298" t="s">
        <v>14</v>
      </c>
      <c r="C298" t="s">
        <v>36</v>
      </c>
      <c r="D298" s="1">
        <v>44620</v>
      </c>
      <c r="E298" s="6">
        <v>10465.99</v>
      </c>
      <c r="F298">
        <v>393</v>
      </c>
    </row>
    <row r="299" spans="1:6">
      <c r="A299" t="s">
        <v>16</v>
      </c>
      <c r="B299" t="s">
        <v>12</v>
      </c>
      <c r="C299" t="s">
        <v>29</v>
      </c>
      <c r="D299" s="1">
        <v>44647</v>
      </c>
      <c r="E299" s="6">
        <v>11297.48</v>
      </c>
      <c r="F299">
        <v>314</v>
      </c>
    </row>
    <row r="300" spans="1:6">
      <c r="A300" t="s">
        <v>11</v>
      </c>
      <c r="B300" t="s">
        <v>24</v>
      </c>
      <c r="C300" t="s">
        <v>35</v>
      </c>
      <c r="D300" s="1">
        <v>44768</v>
      </c>
      <c r="E300" s="6">
        <v>9203.3799999999992</v>
      </c>
      <c r="F300">
        <v>400</v>
      </c>
    </row>
    <row r="301" spans="1:6">
      <c r="A301" t="s">
        <v>6</v>
      </c>
      <c r="B301" t="s">
        <v>12</v>
      </c>
      <c r="C301" t="s">
        <v>25</v>
      </c>
      <c r="D301" s="1">
        <v>44749</v>
      </c>
      <c r="E301" s="6">
        <v>10092.43</v>
      </c>
      <c r="F301">
        <v>239</v>
      </c>
    </row>
    <row r="302" spans="1:6">
      <c r="A302" t="s">
        <v>9</v>
      </c>
      <c r="B302" t="s">
        <v>14</v>
      </c>
      <c r="C302" t="s">
        <v>27</v>
      </c>
      <c r="D302" s="1">
        <v>44753</v>
      </c>
      <c r="E302" s="6">
        <v>2394.9</v>
      </c>
      <c r="F302">
        <v>84</v>
      </c>
    </row>
    <row r="303" spans="1:6">
      <c r="A303" t="s">
        <v>9</v>
      </c>
      <c r="B303" t="s">
        <v>23</v>
      </c>
      <c r="C303" t="s">
        <v>29</v>
      </c>
      <c r="D303" s="1">
        <v>44592</v>
      </c>
      <c r="E303" s="6">
        <v>4157.41</v>
      </c>
      <c r="F303">
        <v>264</v>
      </c>
    </row>
    <row r="304" spans="1:6">
      <c r="A304" t="s">
        <v>34</v>
      </c>
      <c r="B304" t="s">
        <v>23</v>
      </c>
      <c r="C304" t="s">
        <v>19</v>
      </c>
      <c r="D304" s="1">
        <v>44740</v>
      </c>
      <c r="E304" s="6">
        <v>3986.46</v>
      </c>
      <c r="F304">
        <v>140</v>
      </c>
    </row>
    <row r="305" spans="1:6">
      <c r="A305" t="s">
        <v>16</v>
      </c>
      <c r="B305" t="s">
        <v>14</v>
      </c>
      <c r="C305" t="s">
        <v>17</v>
      </c>
      <c r="D305" s="1">
        <v>44715</v>
      </c>
      <c r="E305" s="6">
        <v>16045.86</v>
      </c>
      <c r="F305">
        <v>477</v>
      </c>
    </row>
    <row r="306" spans="1:6">
      <c r="A306" t="s">
        <v>9</v>
      </c>
      <c r="B306" t="s">
        <v>14</v>
      </c>
      <c r="C306" t="s">
        <v>8</v>
      </c>
      <c r="D306" s="1">
        <v>44588</v>
      </c>
      <c r="E306" s="6">
        <v>5616.37</v>
      </c>
      <c r="F306">
        <v>246</v>
      </c>
    </row>
    <row r="307" spans="1:6">
      <c r="A307" t="s">
        <v>20</v>
      </c>
      <c r="B307" t="s">
        <v>12</v>
      </c>
      <c r="C307" t="s">
        <v>31</v>
      </c>
      <c r="D307" s="1">
        <v>44784</v>
      </c>
      <c r="E307" s="6">
        <v>1741.42</v>
      </c>
      <c r="F307">
        <v>42</v>
      </c>
    </row>
    <row r="308" spans="1:6">
      <c r="A308" t="s">
        <v>34</v>
      </c>
      <c r="B308" t="s">
        <v>23</v>
      </c>
      <c r="C308" t="s">
        <v>30</v>
      </c>
      <c r="D308" s="1">
        <v>44769</v>
      </c>
      <c r="E308" s="6">
        <v>4344.3500000000004</v>
      </c>
      <c r="F308">
        <v>109</v>
      </c>
    </row>
    <row r="309" spans="1:6">
      <c r="A309" t="s">
        <v>28</v>
      </c>
      <c r="B309" t="s">
        <v>24</v>
      </c>
      <c r="C309" t="s">
        <v>13</v>
      </c>
      <c r="D309" s="1">
        <v>44629</v>
      </c>
      <c r="E309" s="6">
        <v>8483.48</v>
      </c>
      <c r="F309">
        <v>342</v>
      </c>
    </row>
    <row r="310" spans="1:6">
      <c r="A310" t="s">
        <v>22</v>
      </c>
      <c r="B310" t="s">
        <v>14</v>
      </c>
      <c r="C310" t="s">
        <v>15</v>
      </c>
      <c r="D310" s="1">
        <v>44687</v>
      </c>
      <c r="E310" s="6">
        <v>723.29</v>
      </c>
      <c r="F310">
        <v>27</v>
      </c>
    </row>
    <row r="311" spans="1:6">
      <c r="A311" t="s">
        <v>6</v>
      </c>
      <c r="B311" t="s">
        <v>10</v>
      </c>
      <c r="C311" t="s">
        <v>15</v>
      </c>
      <c r="D311" s="1">
        <v>44581</v>
      </c>
      <c r="E311" s="6">
        <v>4476</v>
      </c>
      <c r="F311">
        <v>343</v>
      </c>
    </row>
    <row r="312" spans="1:6">
      <c r="A312" t="s">
        <v>16</v>
      </c>
      <c r="B312" t="s">
        <v>14</v>
      </c>
      <c r="C312" t="s">
        <v>36</v>
      </c>
      <c r="D312" s="1">
        <v>44690</v>
      </c>
      <c r="E312" s="6">
        <v>13449.54</v>
      </c>
      <c r="F312">
        <v>299</v>
      </c>
    </row>
    <row r="313" spans="1:6">
      <c r="A313" t="s">
        <v>11</v>
      </c>
      <c r="B313" t="s">
        <v>14</v>
      </c>
      <c r="C313" t="s">
        <v>30</v>
      </c>
      <c r="D313" s="1">
        <v>44769</v>
      </c>
      <c r="E313" s="6">
        <v>13220.1</v>
      </c>
      <c r="F313">
        <v>305</v>
      </c>
    </row>
    <row r="314" spans="1:6">
      <c r="A314" t="s">
        <v>22</v>
      </c>
      <c r="B314" t="s">
        <v>23</v>
      </c>
      <c r="C314" t="s">
        <v>36</v>
      </c>
      <c r="D314" s="1">
        <v>44715</v>
      </c>
      <c r="E314" s="6">
        <v>16987.7</v>
      </c>
      <c r="F314">
        <v>411</v>
      </c>
    </row>
    <row r="315" spans="1:6">
      <c r="A315" t="s">
        <v>11</v>
      </c>
      <c r="B315" t="s">
        <v>23</v>
      </c>
      <c r="C315" t="s">
        <v>17</v>
      </c>
      <c r="D315" s="1">
        <v>44752</v>
      </c>
      <c r="E315" s="6">
        <v>9085.51</v>
      </c>
      <c r="F315">
        <v>237</v>
      </c>
    </row>
    <row r="316" spans="1:6">
      <c r="A316" t="s">
        <v>22</v>
      </c>
      <c r="B316" t="s">
        <v>24</v>
      </c>
      <c r="C316" t="s">
        <v>35</v>
      </c>
      <c r="D316" s="1">
        <v>44739</v>
      </c>
      <c r="E316" s="6">
        <v>11544.08</v>
      </c>
      <c r="F316">
        <v>423</v>
      </c>
    </row>
    <row r="317" spans="1:6">
      <c r="A317" t="s">
        <v>22</v>
      </c>
      <c r="B317" t="s">
        <v>24</v>
      </c>
      <c r="C317" t="s">
        <v>29</v>
      </c>
      <c r="D317" s="1">
        <v>44674</v>
      </c>
      <c r="E317" s="6">
        <v>12587.78</v>
      </c>
      <c r="F317">
        <v>297</v>
      </c>
    </row>
    <row r="318" spans="1:6">
      <c r="A318" t="s">
        <v>28</v>
      </c>
      <c r="B318" t="s">
        <v>7</v>
      </c>
      <c r="C318" t="s">
        <v>15</v>
      </c>
      <c r="D318" s="1">
        <v>44668</v>
      </c>
      <c r="E318" s="6">
        <v>12202.64</v>
      </c>
      <c r="F318">
        <v>321</v>
      </c>
    </row>
    <row r="319" spans="1:6">
      <c r="A319" t="s">
        <v>26</v>
      </c>
      <c r="B319" t="s">
        <v>10</v>
      </c>
      <c r="C319" t="s">
        <v>36</v>
      </c>
      <c r="D319" s="1">
        <v>44584</v>
      </c>
      <c r="E319" s="6">
        <v>6319.71</v>
      </c>
      <c r="F319">
        <v>366</v>
      </c>
    </row>
    <row r="320" spans="1:6">
      <c r="A320" t="s">
        <v>22</v>
      </c>
      <c r="B320" t="s">
        <v>14</v>
      </c>
      <c r="C320" t="s">
        <v>31</v>
      </c>
      <c r="D320" s="1">
        <v>44610</v>
      </c>
      <c r="E320" s="6">
        <v>16902.63</v>
      </c>
      <c r="F320">
        <v>472</v>
      </c>
    </row>
    <row r="321" spans="1:6">
      <c r="A321" t="s">
        <v>28</v>
      </c>
      <c r="B321" t="s">
        <v>12</v>
      </c>
      <c r="C321" t="s">
        <v>19</v>
      </c>
      <c r="D321" s="1">
        <v>44776</v>
      </c>
      <c r="E321" s="6">
        <v>5408.77</v>
      </c>
      <c r="F321">
        <v>412</v>
      </c>
    </row>
    <row r="322" spans="1:6">
      <c r="A322" t="s">
        <v>11</v>
      </c>
      <c r="B322" t="s">
        <v>14</v>
      </c>
      <c r="C322" t="s">
        <v>25</v>
      </c>
      <c r="D322" s="1">
        <v>44683</v>
      </c>
      <c r="E322" s="6">
        <v>11725.2</v>
      </c>
      <c r="F322">
        <v>314</v>
      </c>
    </row>
    <row r="323" spans="1:6">
      <c r="A323" t="s">
        <v>28</v>
      </c>
      <c r="B323" t="s">
        <v>7</v>
      </c>
      <c r="C323" t="s">
        <v>19</v>
      </c>
      <c r="D323" s="1">
        <v>44673</v>
      </c>
      <c r="E323" s="6">
        <v>9669.7099999999991</v>
      </c>
      <c r="F323">
        <v>376</v>
      </c>
    </row>
    <row r="324" spans="1:6">
      <c r="A324" t="s">
        <v>11</v>
      </c>
      <c r="B324" t="s">
        <v>14</v>
      </c>
      <c r="C324" t="s">
        <v>29</v>
      </c>
      <c r="D324" s="1">
        <v>44564</v>
      </c>
      <c r="E324" s="6">
        <v>2875.15</v>
      </c>
      <c r="F324">
        <v>201</v>
      </c>
    </row>
    <row r="325" spans="1:6">
      <c r="A325" t="s">
        <v>16</v>
      </c>
      <c r="B325" t="s">
        <v>12</v>
      </c>
      <c r="C325" t="s">
        <v>35</v>
      </c>
      <c r="D325" s="1">
        <v>44631</v>
      </c>
      <c r="E325" s="6">
        <v>14214.55</v>
      </c>
      <c r="F325">
        <v>447</v>
      </c>
    </row>
    <row r="326" spans="1:6">
      <c r="A326" t="s">
        <v>34</v>
      </c>
      <c r="B326" t="s">
        <v>12</v>
      </c>
      <c r="C326" t="s">
        <v>13</v>
      </c>
      <c r="D326" s="1">
        <v>44625</v>
      </c>
      <c r="E326" s="6">
        <v>1195.52</v>
      </c>
      <c r="F326">
        <v>29</v>
      </c>
    </row>
    <row r="327" spans="1:6">
      <c r="A327" t="s">
        <v>22</v>
      </c>
      <c r="B327" t="s">
        <v>23</v>
      </c>
      <c r="C327" t="s">
        <v>31</v>
      </c>
      <c r="D327" s="1">
        <v>44685</v>
      </c>
      <c r="E327" s="6">
        <v>16375.54</v>
      </c>
      <c r="F327">
        <v>491</v>
      </c>
    </row>
    <row r="328" spans="1:6">
      <c r="A328" t="s">
        <v>9</v>
      </c>
      <c r="B328" t="s">
        <v>14</v>
      </c>
      <c r="C328" t="s">
        <v>8</v>
      </c>
      <c r="D328" s="1">
        <v>44644</v>
      </c>
      <c r="E328" s="6">
        <v>8190.32</v>
      </c>
      <c r="F328">
        <v>240</v>
      </c>
    </row>
    <row r="329" spans="1:6">
      <c r="A329" t="s">
        <v>9</v>
      </c>
      <c r="B329" t="s">
        <v>14</v>
      </c>
      <c r="C329" t="s">
        <v>31</v>
      </c>
      <c r="D329" s="1">
        <v>44705</v>
      </c>
      <c r="E329" s="6">
        <v>19125.150000000001</v>
      </c>
      <c r="F329">
        <v>488</v>
      </c>
    </row>
    <row r="330" spans="1:6">
      <c r="A330" t="s">
        <v>6</v>
      </c>
      <c r="B330" t="s">
        <v>23</v>
      </c>
      <c r="C330" t="s">
        <v>27</v>
      </c>
      <c r="D330" s="1">
        <v>44666</v>
      </c>
      <c r="E330" s="6">
        <v>585.65</v>
      </c>
      <c r="F330">
        <v>20</v>
      </c>
    </row>
    <row r="331" spans="1:6">
      <c r="A331" t="s">
        <v>6</v>
      </c>
      <c r="B331" t="s">
        <v>10</v>
      </c>
      <c r="C331" t="s">
        <v>8</v>
      </c>
      <c r="D331" s="1">
        <v>44646</v>
      </c>
      <c r="E331" s="6">
        <v>20317.259999999998</v>
      </c>
      <c r="F331">
        <v>485</v>
      </c>
    </row>
    <row r="332" spans="1:6">
      <c r="A332" t="s">
        <v>34</v>
      </c>
      <c r="B332" t="s">
        <v>14</v>
      </c>
      <c r="C332" t="s">
        <v>18</v>
      </c>
      <c r="D332" s="1">
        <v>44780</v>
      </c>
      <c r="E332" s="6">
        <v>9887.34</v>
      </c>
      <c r="F332">
        <v>320</v>
      </c>
    </row>
    <row r="333" spans="1:6">
      <c r="A333" t="s">
        <v>16</v>
      </c>
      <c r="B333" t="s">
        <v>7</v>
      </c>
      <c r="C333" t="s">
        <v>35</v>
      </c>
      <c r="D333" s="1">
        <v>44773</v>
      </c>
      <c r="E333" s="6">
        <v>8194.42</v>
      </c>
      <c r="F333">
        <v>276</v>
      </c>
    </row>
    <row r="334" spans="1:6">
      <c r="A334" t="s">
        <v>20</v>
      </c>
      <c r="B334" t="s">
        <v>23</v>
      </c>
      <c r="C334" t="s">
        <v>31</v>
      </c>
      <c r="D334" s="1">
        <v>44646</v>
      </c>
      <c r="E334" s="6">
        <v>7471.71</v>
      </c>
      <c r="F334">
        <v>491</v>
      </c>
    </row>
    <row r="335" spans="1:6">
      <c r="A335" t="s">
        <v>16</v>
      </c>
      <c r="B335" t="s">
        <v>10</v>
      </c>
      <c r="C335" t="s">
        <v>36</v>
      </c>
      <c r="D335" s="1">
        <v>44714</v>
      </c>
      <c r="E335" s="6">
        <v>7060.26</v>
      </c>
      <c r="F335">
        <v>142</v>
      </c>
    </row>
    <row r="336" spans="1:6">
      <c r="A336" t="s">
        <v>22</v>
      </c>
      <c r="B336" t="s">
        <v>10</v>
      </c>
      <c r="C336" t="s">
        <v>15</v>
      </c>
      <c r="D336" s="1">
        <v>44714</v>
      </c>
      <c r="E336" s="6">
        <v>13053.64</v>
      </c>
      <c r="F336">
        <v>282</v>
      </c>
    </row>
    <row r="337" spans="1:6">
      <c r="A337" t="s">
        <v>34</v>
      </c>
      <c r="B337" t="s">
        <v>24</v>
      </c>
      <c r="C337" t="s">
        <v>35</v>
      </c>
      <c r="D337" s="1">
        <v>44680</v>
      </c>
      <c r="E337" s="6">
        <v>8399.02</v>
      </c>
      <c r="F337">
        <v>181</v>
      </c>
    </row>
    <row r="338" spans="1:6">
      <c r="A338" t="s">
        <v>22</v>
      </c>
      <c r="B338" t="s">
        <v>10</v>
      </c>
      <c r="C338" t="s">
        <v>32</v>
      </c>
      <c r="D338" s="1">
        <v>44631</v>
      </c>
      <c r="E338" s="6">
        <v>7990.6</v>
      </c>
      <c r="F338">
        <v>199</v>
      </c>
    </row>
    <row r="339" spans="1:6">
      <c r="A339" t="s">
        <v>22</v>
      </c>
      <c r="B339" t="s">
        <v>23</v>
      </c>
      <c r="C339" t="s">
        <v>8</v>
      </c>
      <c r="D339" s="1">
        <v>44767</v>
      </c>
      <c r="E339" s="6">
        <v>11098.01</v>
      </c>
      <c r="F339">
        <v>225</v>
      </c>
    </row>
    <row r="340" spans="1:6">
      <c r="A340" t="s">
        <v>6</v>
      </c>
      <c r="B340" t="s">
        <v>23</v>
      </c>
      <c r="C340" t="s">
        <v>13</v>
      </c>
      <c r="D340" s="1">
        <v>44684</v>
      </c>
      <c r="E340" s="6">
        <v>19951.07</v>
      </c>
      <c r="F340">
        <v>426</v>
      </c>
    </row>
    <row r="341" spans="1:6">
      <c r="A341" t="s">
        <v>6</v>
      </c>
      <c r="B341" t="s">
        <v>23</v>
      </c>
      <c r="C341" t="s">
        <v>32</v>
      </c>
      <c r="D341" s="1">
        <v>44569</v>
      </c>
      <c r="E341" s="6">
        <v>119.82</v>
      </c>
      <c r="F341">
        <v>10</v>
      </c>
    </row>
    <row r="342" spans="1:6">
      <c r="A342" t="s">
        <v>16</v>
      </c>
      <c r="B342" t="s">
        <v>24</v>
      </c>
      <c r="C342" t="s">
        <v>35</v>
      </c>
      <c r="D342" s="1">
        <v>44563</v>
      </c>
      <c r="E342" s="6">
        <v>12551.57</v>
      </c>
      <c r="F342">
        <v>377</v>
      </c>
    </row>
    <row r="343" spans="1:6">
      <c r="A343" t="s">
        <v>21</v>
      </c>
      <c r="B343" t="s">
        <v>24</v>
      </c>
      <c r="C343" t="s">
        <v>18</v>
      </c>
      <c r="D343" s="1">
        <v>44771</v>
      </c>
      <c r="E343" s="6">
        <v>7718.1</v>
      </c>
      <c r="F343">
        <v>265</v>
      </c>
    </row>
    <row r="344" spans="1:6">
      <c r="A344" t="s">
        <v>11</v>
      </c>
      <c r="B344" t="s">
        <v>14</v>
      </c>
      <c r="C344" t="s">
        <v>13</v>
      </c>
      <c r="D344" s="1">
        <v>44771</v>
      </c>
      <c r="E344" s="6">
        <v>6264.79</v>
      </c>
      <c r="F344">
        <v>163</v>
      </c>
    </row>
    <row r="345" spans="1:6">
      <c r="A345" t="s">
        <v>9</v>
      </c>
      <c r="B345" t="s">
        <v>23</v>
      </c>
      <c r="C345" t="s">
        <v>30</v>
      </c>
      <c r="D345" s="1">
        <v>44567</v>
      </c>
      <c r="E345" s="6">
        <v>1617.05</v>
      </c>
      <c r="F345">
        <v>69</v>
      </c>
    </row>
    <row r="346" spans="1:6">
      <c r="A346" t="s">
        <v>20</v>
      </c>
      <c r="B346" t="s">
        <v>12</v>
      </c>
      <c r="C346" t="s">
        <v>33</v>
      </c>
      <c r="D346" s="1">
        <v>44646</v>
      </c>
      <c r="E346" s="6">
        <v>2630.52</v>
      </c>
      <c r="F346">
        <v>64</v>
      </c>
    </row>
    <row r="347" spans="1:6">
      <c r="A347" t="s">
        <v>22</v>
      </c>
      <c r="B347" t="s">
        <v>24</v>
      </c>
      <c r="C347" t="s">
        <v>36</v>
      </c>
      <c r="D347" s="1">
        <v>44801</v>
      </c>
      <c r="E347" s="6">
        <v>5024.53</v>
      </c>
      <c r="F347">
        <v>251</v>
      </c>
    </row>
    <row r="348" spans="1:6">
      <c r="A348" t="s">
        <v>6</v>
      </c>
      <c r="B348" t="s">
        <v>7</v>
      </c>
      <c r="C348" t="s">
        <v>27</v>
      </c>
      <c r="D348" s="1">
        <v>44588</v>
      </c>
      <c r="E348" s="6">
        <v>19586.580000000002</v>
      </c>
      <c r="F348">
        <v>451</v>
      </c>
    </row>
    <row r="349" spans="1:6">
      <c r="A349" t="s">
        <v>6</v>
      </c>
      <c r="B349" t="s">
        <v>7</v>
      </c>
      <c r="C349" t="s">
        <v>31</v>
      </c>
      <c r="D349" s="1">
        <v>44753</v>
      </c>
      <c r="E349" s="6">
        <v>1905.06</v>
      </c>
      <c r="F349">
        <v>40</v>
      </c>
    </row>
    <row r="350" spans="1:6">
      <c r="A350" t="s">
        <v>34</v>
      </c>
      <c r="B350" t="s">
        <v>12</v>
      </c>
      <c r="C350" t="s">
        <v>35</v>
      </c>
      <c r="D350" s="1">
        <v>44663</v>
      </c>
      <c r="E350" s="6">
        <v>5032.22</v>
      </c>
      <c r="F350">
        <v>474</v>
      </c>
    </row>
    <row r="351" spans="1:6">
      <c r="A351" t="s">
        <v>20</v>
      </c>
      <c r="B351" t="s">
        <v>10</v>
      </c>
      <c r="C351" t="s">
        <v>19</v>
      </c>
      <c r="D351" s="1">
        <v>44670</v>
      </c>
      <c r="E351" s="6">
        <v>7678.26</v>
      </c>
      <c r="F351">
        <v>236</v>
      </c>
    </row>
    <row r="352" spans="1:6">
      <c r="A352" t="s">
        <v>22</v>
      </c>
      <c r="B352" t="s">
        <v>10</v>
      </c>
      <c r="C352" t="s">
        <v>29</v>
      </c>
      <c r="D352" s="1">
        <v>44602</v>
      </c>
      <c r="E352" s="6">
        <v>20181</v>
      </c>
      <c r="F352">
        <v>409</v>
      </c>
    </row>
    <row r="353" spans="1:6">
      <c r="A353" t="s">
        <v>22</v>
      </c>
      <c r="B353" t="s">
        <v>7</v>
      </c>
      <c r="C353" t="s">
        <v>35</v>
      </c>
      <c r="D353" s="1">
        <v>44565</v>
      </c>
      <c r="E353" s="6">
        <v>8709.2199999999993</v>
      </c>
      <c r="F353">
        <v>178</v>
      </c>
    </row>
    <row r="354" spans="1:6">
      <c r="A354" t="s">
        <v>28</v>
      </c>
      <c r="B354" t="s">
        <v>10</v>
      </c>
      <c r="C354" t="s">
        <v>25</v>
      </c>
      <c r="D354" s="1">
        <v>44774</v>
      </c>
      <c r="E354" s="6">
        <v>18763.82</v>
      </c>
      <c r="F354">
        <v>444</v>
      </c>
    </row>
    <row r="355" spans="1:6">
      <c r="A355" t="s">
        <v>6</v>
      </c>
      <c r="B355" t="s">
        <v>23</v>
      </c>
      <c r="C355" t="s">
        <v>27</v>
      </c>
      <c r="D355" s="1">
        <v>44640</v>
      </c>
      <c r="E355" s="6">
        <v>11343.37</v>
      </c>
      <c r="F355">
        <v>269</v>
      </c>
    </row>
    <row r="356" spans="1:6">
      <c r="A356" t="s">
        <v>28</v>
      </c>
      <c r="B356" t="s">
        <v>10</v>
      </c>
      <c r="C356" t="s">
        <v>29</v>
      </c>
      <c r="D356" s="1">
        <v>44725</v>
      </c>
      <c r="E356" s="6">
        <v>4905.1000000000004</v>
      </c>
      <c r="F356">
        <v>248</v>
      </c>
    </row>
    <row r="357" spans="1:6">
      <c r="A357" t="s">
        <v>26</v>
      </c>
      <c r="B357" t="s">
        <v>24</v>
      </c>
      <c r="C357" t="s">
        <v>33</v>
      </c>
      <c r="D357" s="1">
        <v>44637</v>
      </c>
      <c r="E357" s="6">
        <v>10071.75</v>
      </c>
      <c r="F357">
        <v>204</v>
      </c>
    </row>
    <row r="358" spans="1:6">
      <c r="A358" t="s">
        <v>16</v>
      </c>
      <c r="B358" t="s">
        <v>7</v>
      </c>
      <c r="C358" t="s">
        <v>27</v>
      </c>
      <c r="D358" s="1">
        <v>44773</v>
      </c>
      <c r="E358" s="6">
        <v>5025.6899999999996</v>
      </c>
      <c r="F358">
        <v>133</v>
      </c>
    </row>
    <row r="359" spans="1:6">
      <c r="A359" t="s">
        <v>22</v>
      </c>
      <c r="B359" t="s">
        <v>14</v>
      </c>
      <c r="C359" t="s">
        <v>33</v>
      </c>
      <c r="D359" s="1">
        <v>44803</v>
      </c>
      <c r="E359" s="6">
        <v>1274.8599999999999</v>
      </c>
      <c r="F359">
        <v>81</v>
      </c>
    </row>
    <row r="360" spans="1:6">
      <c r="A360" t="s">
        <v>21</v>
      </c>
      <c r="B360" t="s">
        <v>24</v>
      </c>
      <c r="C360" t="s">
        <v>25</v>
      </c>
      <c r="D360" s="1">
        <v>44656</v>
      </c>
      <c r="E360" s="6">
        <v>2848.07</v>
      </c>
      <c r="F360">
        <v>193</v>
      </c>
    </row>
    <row r="361" spans="1:6">
      <c r="A361" t="s">
        <v>20</v>
      </c>
      <c r="B361" t="s">
        <v>23</v>
      </c>
      <c r="C361" t="s">
        <v>18</v>
      </c>
      <c r="D361" s="1">
        <v>44731</v>
      </c>
      <c r="E361" s="6">
        <v>5431.35</v>
      </c>
      <c r="F361">
        <v>152</v>
      </c>
    </row>
    <row r="362" spans="1:6">
      <c r="A362" t="s">
        <v>22</v>
      </c>
      <c r="B362" t="s">
        <v>10</v>
      </c>
      <c r="C362" t="s">
        <v>18</v>
      </c>
      <c r="D362" s="1">
        <v>44733</v>
      </c>
      <c r="E362" s="6">
        <v>23090.87</v>
      </c>
      <c r="F362">
        <v>482</v>
      </c>
    </row>
    <row r="363" spans="1:6">
      <c r="A363" t="s">
        <v>11</v>
      </c>
      <c r="B363" t="s">
        <v>23</v>
      </c>
      <c r="C363" t="s">
        <v>35</v>
      </c>
      <c r="D363" s="1">
        <v>44723</v>
      </c>
      <c r="E363" s="6">
        <v>13289.99</v>
      </c>
      <c r="F363">
        <v>273</v>
      </c>
    </row>
    <row r="364" spans="1:6">
      <c r="A364" t="s">
        <v>20</v>
      </c>
      <c r="B364" t="s">
        <v>7</v>
      </c>
      <c r="C364" t="s">
        <v>36</v>
      </c>
      <c r="D364" s="1">
        <v>44653</v>
      </c>
      <c r="E364" s="6">
        <v>14114.16</v>
      </c>
      <c r="F364">
        <v>422</v>
      </c>
    </row>
    <row r="365" spans="1:6">
      <c r="A365" t="s">
        <v>28</v>
      </c>
      <c r="B365" t="s">
        <v>23</v>
      </c>
      <c r="C365" t="s">
        <v>33</v>
      </c>
      <c r="D365" s="1">
        <v>44634</v>
      </c>
      <c r="E365" s="6">
        <v>3064.72</v>
      </c>
      <c r="F365">
        <v>251</v>
      </c>
    </row>
    <row r="366" spans="1:6">
      <c r="A366" t="s">
        <v>21</v>
      </c>
      <c r="B366" t="s">
        <v>10</v>
      </c>
      <c r="C366" t="s">
        <v>17</v>
      </c>
      <c r="D366" s="1">
        <v>44745</v>
      </c>
      <c r="E366" s="6">
        <v>13987.08</v>
      </c>
      <c r="F366">
        <v>372</v>
      </c>
    </row>
    <row r="367" spans="1:6">
      <c r="A367" t="s">
        <v>22</v>
      </c>
      <c r="B367" t="s">
        <v>10</v>
      </c>
      <c r="C367" t="s">
        <v>30</v>
      </c>
      <c r="D367" s="1">
        <v>44760</v>
      </c>
      <c r="E367" s="6">
        <v>17890.38</v>
      </c>
      <c r="F367">
        <v>457</v>
      </c>
    </row>
    <row r="368" spans="1:6">
      <c r="A368" t="s">
        <v>11</v>
      </c>
      <c r="B368" t="s">
        <v>10</v>
      </c>
      <c r="C368" t="s">
        <v>19</v>
      </c>
      <c r="D368" s="1">
        <v>44774</v>
      </c>
      <c r="E368" s="6">
        <v>11345.7</v>
      </c>
      <c r="F368">
        <v>487</v>
      </c>
    </row>
    <row r="369" spans="1:6">
      <c r="A369" t="s">
        <v>28</v>
      </c>
      <c r="B369" t="s">
        <v>24</v>
      </c>
      <c r="C369" t="s">
        <v>31</v>
      </c>
      <c r="D369" s="1">
        <v>44686</v>
      </c>
      <c r="E369" s="6">
        <v>3795.64</v>
      </c>
      <c r="F369">
        <v>206</v>
      </c>
    </row>
    <row r="370" spans="1:6">
      <c r="A370" t="s">
        <v>6</v>
      </c>
      <c r="B370" t="s">
        <v>24</v>
      </c>
      <c r="C370" t="s">
        <v>36</v>
      </c>
      <c r="D370" s="1">
        <v>44768</v>
      </c>
      <c r="E370" s="6">
        <v>1004.71</v>
      </c>
      <c r="F370">
        <v>21</v>
      </c>
    </row>
    <row r="371" spans="1:6">
      <c r="A371" t="s">
        <v>28</v>
      </c>
      <c r="B371" t="s">
        <v>23</v>
      </c>
      <c r="C371" t="s">
        <v>29</v>
      </c>
      <c r="D371" s="1">
        <v>44711</v>
      </c>
      <c r="E371" s="6">
        <v>5575.62</v>
      </c>
      <c r="F371">
        <v>371</v>
      </c>
    </row>
    <row r="372" spans="1:6">
      <c r="A372" t="s">
        <v>11</v>
      </c>
      <c r="B372" t="s">
        <v>14</v>
      </c>
      <c r="C372" t="s">
        <v>32</v>
      </c>
      <c r="D372" s="1">
        <v>44688</v>
      </c>
      <c r="E372" s="6">
        <v>12563.44</v>
      </c>
      <c r="F372">
        <v>420</v>
      </c>
    </row>
    <row r="373" spans="1:6">
      <c r="A373" t="s">
        <v>11</v>
      </c>
      <c r="B373" t="s">
        <v>24</v>
      </c>
      <c r="C373" t="s">
        <v>17</v>
      </c>
      <c r="D373" s="1">
        <v>44733</v>
      </c>
      <c r="E373" s="6">
        <v>4983.24</v>
      </c>
      <c r="F373">
        <v>143</v>
      </c>
    </row>
    <row r="374" spans="1:6">
      <c r="A374" t="s">
        <v>16</v>
      </c>
      <c r="B374" t="s">
        <v>14</v>
      </c>
      <c r="C374" t="s">
        <v>15</v>
      </c>
      <c r="D374" s="1">
        <v>44789</v>
      </c>
      <c r="E374" s="6">
        <v>782.09</v>
      </c>
      <c r="F374">
        <v>19</v>
      </c>
    </row>
    <row r="375" spans="1:6">
      <c r="A375" t="s">
        <v>28</v>
      </c>
      <c r="B375" t="s">
        <v>10</v>
      </c>
      <c r="C375" t="s">
        <v>29</v>
      </c>
      <c r="D375" s="1">
        <v>44790</v>
      </c>
      <c r="E375" s="6">
        <v>17614.900000000001</v>
      </c>
      <c r="F375">
        <v>386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86C0-CEEA-4741-B359-5BEA60781BB4}">
  <dimension ref="A2:E78"/>
  <sheetViews>
    <sheetView workbookViewId="0">
      <selection activeCell="E4" sqref="E4:E10"/>
    </sheetView>
  </sheetViews>
  <sheetFormatPr defaultRowHeight="15"/>
  <cols>
    <col min="1" max="1" width="15.42578125" bestFit="1" customWidth="1"/>
    <col min="2" max="2" width="18.28515625" customWidth="1"/>
    <col min="3" max="3" width="15.7109375" bestFit="1" customWidth="1"/>
    <col min="4" max="4" width="20.5703125" customWidth="1"/>
    <col min="5" max="5" width="21.140625" customWidth="1"/>
  </cols>
  <sheetData>
    <row r="2" spans="1:5">
      <c r="A2" t="s">
        <v>37</v>
      </c>
      <c r="D2" t="s">
        <v>38</v>
      </c>
    </row>
    <row r="3" spans="1:5">
      <c r="A3" s="4" t="s">
        <v>2</v>
      </c>
      <c r="B3" t="s">
        <v>39</v>
      </c>
      <c r="D3" s="4" t="s">
        <v>1</v>
      </c>
      <c r="E3" t="s">
        <v>39</v>
      </c>
    </row>
    <row r="4" spans="1:5">
      <c r="A4" t="s">
        <v>33</v>
      </c>
      <c r="B4" s="6">
        <v>102733.42</v>
      </c>
      <c r="D4" t="s">
        <v>12</v>
      </c>
      <c r="E4" s="6">
        <v>346434.91999999993</v>
      </c>
    </row>
    <row r="5" spans="1:5">
      <c r="A5" t="s">
        <v>15</v>
      </c>
      <c r="B5" s="6">
        <v>110329.71999999999</v>
      </c>
      <c r="D5" t="s">
        <v>7</v>
      </c>
      <c r="E5" s="6">
        <v>374562.30999999994</v>
      </c>
    </row>
    <row r="6" spans="1:5">
      <c r="A6" t="s">
        <v>30</v>
      </c>
      <c r="B6" s="6">
        <v>141841.47000000003</v>
      </c>
      <c r="D6" t="s">
        <v>10</v>
      </c>
      <c r="E6" s="6">
        <v>497061.54000000004</v>
      </c>
    </row>
    <row r="7" spans="1:5">
      <c r="A7" t="s">
        <v>18</v>
      </c>
      <c r="B7" s="6">
        <v>151324.68000000002</v>
      </c>
      <c r="D7" t="s">
        <v>23</v>
      </c>
      <c r="E7" s="6">
        <v>505497.64</v>
      </c>
    </row>
    <row r="8" spans="1:5">
      <c r="A8" t="s">
        <v>17</v>
      </c>
      <c r="B8" s="6">
        <v>170100.68999999997</v>
      </c>
      <c r="D8" t="s">
        <v>14</v>
      </c>
      <c r="E8" s="6">
        <v>557059.84999999986</v>
      </c>
    </row>
    <row r="9" spans="1:5">
      <c r="A9" t="s">
        <v>31</v>
      </c>
      <c r="B9" s="6">
        <v>195936.57</v>
      </c>
      <c r="D9" t="s">
        <v>24</v>
      </c>
      <c r="E9" s="6">
        <v>628487.85999999975</v>
      </c>
    </row>
    <row r="10" spans="1:5">
      <c r="A10" t="s">
        <v>25</v>
      </c>
      <c r="B10" s="6">
        <v>197882.89000000004</v>
      </c>
      <c r="D10" t="s">
        <v>40</v>
      </c>
      <c r="E10" s="6">
        <v>2909104.1199999996</v>
      </c>
    </row>
    <row r="11" spans="1:5">
      <c r="A11" t="s">
        <v>8</v>
      </c>
      <c r="B11" s="6">
        <v>202901.75</v>
      </c>
      <c r="D11" s="2"/>
      <c r="E11" s="3"/>
    </row>
    <row r="12" spans="1:5">
      <c r="A12" t="s">
        <v>29</v>
      </c>
      <c r="B12" s="6">
        <v>218210.84</v>
      </c>
      <c r="D12" s="2"/>
      <c r="E12" s="3"/>
    </row>
    <row r="13" spans="1:5">
      <c r="A13" t="s">
        <v>36</v>
      </c>
      <c r="B13" s="6">
        <v>218576.97</v>
      </c>
      <c r="D13" s="2"/>
      <c r="E13" s="3"/>
    </row>
    <row r="14" spans="1:5">
      <c r="A14" t="s">
        <v>13</v>
      </c>
      <c r="B14" s="6">
        <v>222923.58000000005</v>
      </c>
      <c r="D14" s="2"/>
      <c r="E14" s="3"/>
    </row>
    <row r="15" spans="1:5">
      <c r="A15" t="s">
        <v>35</v>
      </c>
      <c r="B15" s="6">
        <v>232247.99999999997</v>
      </c>
      <c r="D15" s="2"/>
      <c r="E15" s="3"/>
    </row>
    <row r="16" spans="1:5">
      <c r="A16" t="s">
        <v>27</v>
      </c>
      <c r="B16" s="6">
        <v>232864.77000000002</v>
      </c>
      <c r="D16" s="2"/>
      <c r="E16" s="3"/>
    </row>
    <row r="17" spans="1:5">
      <c r="A17" t="s">
        <v>32</v>
      </c>
      <c r="B17" s="6">
        <v>250323.33000000007</v>
      </c>
      <c r="D17" s="2"/>
      <c r="E17" s="3"/>
    </row>
    <row r="18" spans="1:5">
      <c r="A18" t="s">
        <v>19</v>
      </c>
      <c r="B18" s="6">
        <v>260905.44</v>
      </c>
      <c r="D18" s="2"/>
      <c r="E18" s="3"/>
    </row>
    <row r="19" spans="1:5">
      <c r="A19" t="s">
        <v>40</v>
      </c>
      <c r="B19" s="6">
        <v>2909104.1199999996</v>
      </c>
      <c r="D19" s="2"/>
      <c r="E19" s="3"/>
    </row>
    <row r="20" spans="1:5">
      <c r="D20" s="2"/>
      <c r="E20" s="3"/>
    </row>
    <row r="21" spans="1:5">
      <c r="D21" s="2"/>
      <c r="E21" s="3"/>
    </row>
    <row r="22" spans="1:5">
      <c r="D22" s="2"/>
      <c r="E22" s="3"/>
    </row>
    <row r="23" spans="1:5">
      <c r="D23" s="2"/>
      <c r="E23" s="3"/>
    </row>
    <row r="24" spans="1:5">
      <c r="D24" s="2"/>
      <c r="E24" s="3"/>
    </row>
    <row r="25" spans="1:5">
      <c r="A25" t="s">
        <v>41</v>
      </c>
      <c r="D25" s="2" t="s">
        <v>42</v>
      </c>
      <c r="E25" s="3"/>
    </row>
    <row r="26" spans="1:5">
      <c r="A26" s="4" t="s">
        <v>0</v>
      </c>
      <c r="B26" t="s">
        <v>39</v>
      </c>
      <c r="D26" s="4" t="s">
        <v>2</v>
      </c>
      <c r="E26" t="s">
        <v>43</v>
      </c>
    </row>
    <row r="27" spans="1:5">
      <c r="A27" t="s">
        <v>34</v>
      </c>
      <c r="B27" s="6">
        <v>223432.68999999994</v>
      </c>
      <c r="D27" t="s">
        <v>33</v>
      </c>
      <c r="E27">
        <v>3562</v>
      </c>
    </row>
    <row r="28" spans="1:5">
      <c r="A28" t="s">
        <v>26</v>
      </c>
      <c r="B28" s="6">
        <v>246174.27999999997</v>
      </c>
      <c r="D28" t="s">
        <v>15</v>
      </c>
      <c r="E28">
        <v>3613</v>
      </c>
    </row>
    <row r="29" spans="1:5">
      <c r="A29" t="s">
        <v>28</v>
      </c>
      <c r="B29" s="6">
        <v>270960.55000000005</v>
      </c>
      <c r="D29" t="s">
        <v>30</v>
      </c>
      <c r="E29">
        <v>4257</v>
      </c>
    </row>
    <row r="30" spans="1:5">
      <c r="A30" t="s">
        <v>21</v>
      </c>
      <c r="B30" s="6">
        <v>272188.08</v>
      </c>
      <c r="D30" t="s">
        <v>18</v>
      </c>
      <c r="E30">
        <v>4455</v>
      </c>
    </row>
    <row r="31" spans="1:5">
      <c r="A31" t="s">
        <v>11</v>
      </c>
      <c r="B31" s="6">
        <v>293204.6700000001</v>
      </c>
      <c r="D31" t="s">
        <v>25</v>
      </c>
      <c r="E31">
        <v>5893</v>
      </c>
    </row>
    <row r="32" spans="1:5">
      <c r="A32" t="s">
        <v>6</v>
      </c>
      <c r="B32" s="6">
        <v>295166.91000000009</v>
      </c>
      <c r="D32" t="s">
        <v>31</v>
      </c>
      <c r="E32">
        <v>6184</v>
      </c>
    </row>
    <row r="33" spans="1:5">
      <c r="A33" t="s">
        <v>9</v>
      </c>
      <c r="B33" s="6">
        <v>298595.61</v>
      </c>
      <c r="D33" t="s">
        <v>17</v>
      </c>
      <c r="E33">
        <v>6281</v>
      </c>
    </row>
    <row r="34" spans="1:5">
      <c r="A34" t="s">
        <v>20</v>
      </c>
      <c r="B34" s="6">
        <v>302087.59999999998</v>
      </c>
      <c r="D34" t="s">
        <v>8</v>
      </c>
      <c r="E34">
        <v>6941</v>
      </c>
    </row>
    <row r="35" spans="1:5">
      <c r="A35" t="s">
        <v>16</v>
      </c>
      <c r="B35" s="6">
        <v>319887.82</v>
      </c>
      <c r="D35" t="s">
        <v>27</v>
      </c>
      <c r="E35">
        <v>6983</v>
      </c>
    </row>
    <row r="36" spans="1:5">
      <c r="A36" t="s">
        <v>22</v>
      </c>
      <c r="B36" s="6">
        <v>387405.90999999992</v>
      </c>
      <c r="D36" t="s">
        <v>36</v>
      </c>
      <c r="E36">
        <v>7018</v>
      </c>
    </row>
    <row r="37" spans="1:5">
      <c r="A37" t="s">
        <v>40</v>
      </c>
      <c r="B37" s="6">
        <v>2909104.1199999996</v>
      </c>
      <c r="D37" t="s">
        <v>13</v>
      </c>
      <c r="E37">
        <v>7065</v>
      </c>
    </row>
    <row r="38" spans="1:5">
      <c r="D38" t="s">
        <v>29</v>
      </c>
      <c r="E38">
        <v>7182</v>
      </c>
    </row>
    <row r="39" spans="1:5">
      <c r="D39" t="s">
        <v>35</v>
      </c>
      <c r="E39">
        <v>7423</v>
      </c>
    </row>
    <row r="40" spans="1:5">
      <c r="D40" t="s">
        <v>32</v>
      </c>
      <c r="E40">
        <v>7977</v>
      </c>
    </row>
    <row r="41" spans="1:5">
      <c r="D41" t="s">
        <v>19</v>
      </c>
      <c r="E41">
        <v>8319</v>
      </c>
    </row>
    <row r="42" spans="1:5">
      <c r="D42" t="s">
        <v>40</v>
      </c>
      <c r="E42">
        <v>93153</v>
      </c>
    </row>
    <row r="43" spans="1:5">
      <c r="D43" s="2"/>
      <c r="E43" s="3"/>
    </row>
    <row r="44" spans="1:5">
      <c r="D44" s="2"/>
      <c r="E44" s="3"/>
    </row>
    <row r="45" spans="1:5">
      <c r="D45" s="2"/>
      <c r="E45" s="3"/>
    </row>
    <row r="46" spans="1:5">
      <c r="D46" s="2"/>
      <c r="E46" s="3"/>
    </row>
    <row r="47" spans="1:5">
      <c r="D47" s="2"/>
      <c r="E47" s="3"/>
    </row>
    <row r="48" spans="1:5">
      <c r="D48" s="2"/>
      <c r="E48" s="3"/>
    </row>
    <row r="49" spans="4:5">
      <c r="D49" s="2"/>
      <c r="E49" s="3"/>
    </row>
    <row r="50" spans="4:5">
      <c r="D50" s="2"/>
      <c r="E50" s="3"/>
    </row>
    <row r="51" spans="4:5">
      <c r="D51" s="2"/>
      <c r="E51" s="3"/>
    </row>
    <row r="52" spans="4:5">
      <c r="D52" s="2"/>
      <c r="E52" s="3"/>
    </row>
    <row r="53" spans="4:5">
      <c r="D53" s="2"/>
      <c r="E53" s="3"/>
    </row>
    <row r="54" spans="4:5">
      <c r="D54" s="2"/>
      <c r="E54" s="3"/>
    </row>
    <row r="55" spans="4:5">
      <c r="D55" s="2"/>
      <c r="E55" s="3"/>
    </row>
    <row r="56" spans="4:5">
      <c r="D56" s="2"/>
      <c r="E56" s="3"/>
    </row>
    <row r="57" spans="4:5">
      <c r="D57" s="2"/>
      <c r="E57" s="3"/>
    </row>
    <row r="58" spans="4:5">
      <c r="D58" s="2"/>
      <c r="E58" s="3"/>
    </row>
    <row r="59" spans="4:5">
      <c r="D59" s="2"/>
      <c r="E59" s="3"/>
    </row>
    <row r="60" spans="4:5">
      <c r="D60" s="2"/>
      <c r="E60" s="3"/>
    </row>
    <row r="61" spans="4:5">
      <c r="D61" s="2"/>
      <c r="E61" s="3"/>
    </row>
    <row r="62" spans="4:5">
      <c r="D62" s="2"/>
      <c r="E62" s="3"/>
    </row>
    <row r="63" spans="4:5">
      <c r="D63" s="2"/>
      <c r="E63" s="3"/>
    </row>
    <row r="64" spans="4:5">
      <c r="D64" s="2"/>
      <c r="E64" s="3"/>
    </row>
    <row r="65" spans="4:5">
      <c r="D65" s="2"/>
      <c r="E65" s="3"/>
    </row>
    <row r="66" spans="4:5">
      <c r="D66" s="2"/>
      <c r="E66" s="3"/>
    </row>
    <row r="67" spans="4:5">
      <c r="D67" s="2"/>
      <c r="E67" s="3"/>
    </row>
    <row r="68" spans="4:5">
      <c r="D68" s="2"/>
      <c r="E68" s="3"/>
    </row>
    <row r="69" spans="4:5">
      <c r="D69" s="2"/>
      <c r="E69" s="3"/>
    </row>
    <row r="70" spans="4:5">
      <c r="D70" s="2"/>
      <c r="E70" s="3"/>
    </row>
    <row r="71" spans="4:5">
      <c r="D71" s="2"/>
      <c r="E71" s="3"/>
    </row>
    <row r="72" spans="4:5">
      <c r="D72" s="2"/>
      <c r="E72" s="3"/>
    </row>
    <row r="73" spans="4:5">
      <c r="D73" s="2"/>
      <c r="E73" s="3"/>
    </row>
    <row r="74" spans="4:5">
      <c r="D74" s="2"/>
      <c r="E74" s="3"/>
    </row>
    <row r="75" spans="4:5">
      <c r="D75" s="2"/>
      <c r="E75" s="3"/>
    </row>
    <row r="76" spans="4:5">
      <c r="D76" s="2"/>
      <c r="E76" s="3"/>
    </row>
    <row r="77" spans="4:5">
      <c r="D77" s="2"/>
      <c r="E77" s="3"/>
    </row>
    <row r="78" spans="4:5">
      <c r="D78" s="2"/>
      <c r="E7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AD67-43AA-4FCA-AC73-2B4254175544}">
  <dimension ref="A1:Z121"/>
  <sheetViews>
    <sheetView showGridLines="0" tabSelected="1" workbookViewId="0">
      <selection sqref="A1:D3"/>
    </sheetView>
  </sheetViews>
  <sheetFormatPr defaultRowHeight="15"/>
  <cols>
    <col min="1" max="1" width="41.5703125" customWidth="1"/>
    <col min="2" max="2" width="44.140625" customWidth="1"/>
    <col min="3" max="3" width="43" customWidth="1"/>
    <col min="4" max="4" width="48.85546875" customWidth="1"/>
  </cols>
  <sheetData>
    <row r="1" spans="1:10" ht="26.25">
      <c r="A1" s="19" t="s">
        <v>44</v>
      </c>
      <c r="B1" s="19"/>
      <c r="C1" s="19"/>
      <c r="D1" s="19"/>
      <c r="E1" s="14"/>
      <c r="F1" s="14"/>
      <c r="G1" s="14"/>
      <c r="H1" s="14"/>
      <c r="I1" s="14"/>
      <c r="J1" s="14"/>
    </row>
    <row r="2" spans="1:10" ht="26.25">
      <c r="A2" s="19" t="s">
        <v>45</v>
      </c>
      <c r="B2" s="19"/>
      <c r="C2" s="19"/>
      <c r="D2" s="19"/>
      <c r="E2" s="14"/>
      <c r="F2" s="14"/>
      <c r="G2" s="14"/>
      <c r="H2" s="14"/>
      <c r="I2" s="14"/>
      <c r="J2" s="14"/>
    </row>
    <row r="3" spans="1:10" ht="26.25">
      <c r="A3" s="19" t="s">
        <v>46</v>
      </c>
      <c r="B3" s="19"/>
      <c r="C3" s="19"/>
      <c r="D3" s="19"/>
      <c r="E3" s="14"/>
      <c r="F3" s="14"/>
      <c r="G3" s="14"/>
      <c r="H3" s="14"/>
      <c r="I3" s="14"/>
      <c r="J3" s="14"/>
    </row>
    <row r="36" spans="1:4" ht="24">
      <c r="A36" s="12" t="s">
        <v>47</v>
      </c>
      <c r="B36" s="13" t="s">
        <v>48</v>
      </c>
      <c r="C36" s="12" t="s">
        <v>49</v>
      </c>
      <c r="D36" s="12" t="s">
        <v>50</v>
      </c>
    </row>
    <row r="37" spans="1:4" ht="23.25">
      <c r="A37" s="11">
        <f>Analysis!B19</f>
        <v>2909104.1199999996</v>
      </c>
      <c r="B37" s="10">
        <f>COUNTA(_xlfn.UNIQUE(Analysis!A4:A18))</f>
        <v>15</v>
      </c>
      <c r="C37" s="10">
        <f>COUNTA(_xlfn.UNIQUE(Analysis!D4:D9))</f>
        <v>6</v>
      </c>
      <c r="D37" s="10">
        <f>ROWS('Raw Data'!$2:$375)</f>
        <v>374</v>
      </c>
    </row>
    <row r="38" spans="1:4" ht="23.25">
      <c r="A38" s="17"/>
      <c r="B38" s="18"/>
      <c r="C38" s="18"/>
      <c r="D38" s="18"/>
    </row>
    <row r="39" spans="1:4" ht="23.25">
      <c r="A39" s="17"/>
      <c r="B39" s="18"/>
      <c r="C39" s="18"/>
      <c r="D39" s="18"/>
    </row>
    <row r="40" spans="1:4" ht="26.25">
      <c r="A40" s="16" t="s">
        <v>51</v>
      </c>
      <c r="B40" s="5"/>
      <c r="C40" s="5"/>
      <c r="D40" s="5"/>
    </row>
    <row r="41" spans="1:4">
      <c r="A41" s="15" t="s">
        <v>52</v>
      </c>
      <c r="B41" s="15"/>
      <c r="C41" s="15"/>
      <c r="D41" s="15"/>
    </row>
    <row r="42" spans="1:4" ht="36" customHeight="1">
      <c r="A42" s="15"/>
      <c r="B42" s="15"/>
      <c r="C42" s="15"/>
      <c r="D42" s="15"/>
    </row>
    <row r="43" spans="1:4" ht="23.25">
      <c r="A43" s="7" t="s">
        <v>53</v>
      </c>
    </row>
    <row r="44" spans="1:4" ht="18">
      <c r="A44" s="8" t="s">
        <v>54</v>
      </c>
    </row>
    <row r="45" spans="1:4">
      <c r="A45" s="9" t="s">
        <v>55</v>
      </c>
    </row>
    <row r="46" spans="1:4">
      <c r="A46" s="9" t="s">
        <v>56</v>
      </c>
    </row>
    <row r="47" spans="1:4">
      <c r="A47" s="9" t="s">
        <v>57</v>
      </c>
    </row>
    <row r="48" spans="1:4" ht="18">
      <c r="A48" s="8" t="s">
        <v>58</v>
      </c>
    </row>
    <row r="49" spans="1:1">
      <c r="A49" s="9" t="s">
        <v>59</v>
      </c>
    </row>
    <row r="50" spans="1:1">
      <c r="A50" s="9" t="s">
        <v>60</v>
      </c>
    </row>
    <row r="51" spans="1:1">
      <c r="A51" s="9" t="s">
        <v>61</v>
      </c>
    </row>
    <row r="52" spans="1:1" ht="18">
      <c r="A52" s="8" t="s">
        <v>62</v>
      </c>
    </row>
    <row r="53" spans="1:1">
      <c r="A53" s="9" t="s">
        <v>63</v>
      </c>
    </row>
    <row r="54" spans="1:1">
      <c r="A54" s="9" t="s">
        <v>64</v>
      </c>
    </row>
    <row r="55" spans="1:1">
      <c r="A55" s="9"/>
    </row>
    <row r="56" spans="1:1" ht="23.25">
      <c r="A56" s="7" t="s">
        <v>65</v>
      </c>
    </row>
    <row r="57" spans="1:1" ht="18">
      <c r="A57" s="8" t="s">
        <v>66</v>
      </c>
    </row>
    <row r="58" spans="1:1">
      <c r="A58" s="9" t="s">
        <v>67</v>
      </c>
    </row>
    <row r="59" spans="1:1" ht="18">
      <c r="A59" s="8" t="s">
        <v>68</v>
      </c>
    </row>
    <row r="60" spans="1:1">
      <c r="A60" s="9" t="s">
        <v>69</v>
      </c>
    </row>
    <row r="61" spans="1:1" ht="18">
      <c r="A61" s="8" t="s">
        <v>70</v>
      </c>
    </row>
    <row r="62" spans="1:1">
      <c r="A62" s="9" t="s">
        <v>71</v>
      </c>
    </row>
    <row r="63" spans="1:1" ht="18">
      <c r="A63" s="8" t="s">
        <v>72</v>
      </c>
    </row>
    <row r="64" spans="1:1">
      <c r="A64" s="9" t="s">
        <v>73</v>
      </c>
    </row>
    <row r="65" spans="1:1" ht="18">
      <c r="A65" s="8" t="s">
        <v>74</v>
      </c>
    </row>
    <row r="66" spans="1:1">
      <c r="A66" s="9" t="s">
        <v>75</v>
      </c>
    </row>
    <row r="121" spans="26:26">
      <c r="Z121" t="s">
        <v>76</v>
      </c>
    </row>
  </sheetData>
  <mergeCells count="4">
    <mergeCell ref="A41:D42"/>
    <mergeCell ref="A1:D1"/>
    <mergeCell ref="A2:D2"/>
    <mergeCell ref="A3:D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527313-0A6C-49D4-AE77-1D8858ECF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2026-06-22T17:16:28Z</dcterms:created>
  <dcterms:modified xsi:type="dcterms:W3CDTF">2026-06-24T16:00:23Z</dcterms:modified>
  <cp:category/>
  <cp:contentStatus/>
</cp:coreProperties>
</file>